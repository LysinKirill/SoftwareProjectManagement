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827"/>
  <workbookPr filterPrivacy="1" defaultThemeVersion="124226"/>
  <xr:revisionPtr revIDLastSave="0" documentId="8_{12E8FACC-0D17-496D-981A-81FCD504D1D7}" xr6:coauthVersionLast="45" xr6:coauthVersionMax="45" xr10:uidLastSave="{00000000-0000-0000-0000-000000000000}"/>
  <bookViews>
    <workbookView xWindow="-25693" yWindow="-93" windowWidth="25786" windowHeight="14586" activeTab="1" xr2:uid="{00000000-000D-0000-FFFF-FFFF00000000}"/>
  </bookViews>
  <sheets>
    <sheet name="Инструкции" sheetId="3" r:id="rId1"/>
    <sheet name="Реестр рисков" sheetId="2" r:id="rId2"/>
  </sheets>
  <externalReferences>
    <externalReference r:id="rId3"/>
  </externalReferences>
  <definedNames>
    <definedName name="_xlnm._FilterDatabase" localSheetId="0" hidden="1">Инструкции!$A$24:$B$34</definedName>
    <definedName name="_xlnm._FilterDatabase" localSheetId="1" hidden="1">'Реестр рисков'!$B$4:$D$4</definedName>
    <definedName name="as">[1]DropDown_Elements!$A$2:$A$30</definedName>
    <definedName name="OLE_LINK1" localSheetId="1">'Реестр рисков'!#REF!</definedName>
    <definedName name="Risk_Area">#REF!</definedName>
    <definedName name="RiskType">#REF!</definedName>
    <definedName name="Высокий">#REF!</definedName>
    <definedName name="_xlnm.Print_Titles" localSheetId="1">'Реестр рисков'!$1:$4</definedName>
    <definedName name="_xlnm.Print_Area" localSheetId="1">'Реестр рисков'!$A$1:$M$30</definedName>
    <definedName name="ТипРиска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9" i="2" l="1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E6" i="2"/>
  <c r="O5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4" authorId="0" shapeId="0" xr:uid="{00000000-0006-0000-0100-000001000000}">
      <text>
        <r>
          <rPr>
            <b/>
            <sz val="8"/>
            <color indexed="81"/>
            <rFont val="Tahoma"/>
            <family val="2"/>
            <charset val="204"/>
          </rPr>
          <t>Автор:</t>
        </r>
        <r>
          <rPr>
            <sz val="8"/>
            <color indexed="81"/>
            <rFont val="Tahoma"/>
            <family val="2"/>
            <charset val="204"/>
          </rPr>
          <t xml:space="preserve">
Уникальный идентификатор требования (st + инкремент)</t>
        </r>
      </text>
    </comment>
    <comment ref="B4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04"/>
          </rPr>
          <t>Автор:</t>
        </r>
        <r>
          <rPr>
            <sz val="8"/>
            <color indexed="81"/>
            <rFont val="Tahoma"/>
            <family val="2"/>
            <charset val="204"/>
          </rPr>
          <t xml:space="preserve">
"Открыт" для рисков, которые актуальны; "закрыт" для рисков, более не актуальных на преокте (реализовавшихся, ставших невозможными и т.п.)</t>
        </r>
      </text>
    </comment>
    <comment ref="C4" authorId="0" shapeId="0" xr:uid="{00000000-0006-0000-0100-000003000000}">
      <text>
        <r>
          <rPr>
            <b/>
            <sz val="8"/>
            <color indexed="81"/>
            <rFont val="Tahoma"/>
            <family val="2"/>
            <charset val="204"/>
          </rPr>
          <t>Автор:</t>
        </r>
        <r>
          <rPr>
            <sz val="8"/>
            <color indexed="81"/>
            <rFont val="Tahoma"/>
            <family val="2"/>
            <charset val="204"/>
          </rPr>
          <t xml:space="preserve">
Элемент качественной оценки риска ("высокое / среднее / низкое")</t>
        </r>
      </text>
    </comment>
    <comment ref="D4" authorId="0" shapeId="0" xr:uid="{00000000-0006-0000-0100-000004000000}">
      <text>
        <r>
          <rPr>
            <b/>
            <sz val="8"/>
            <color indexed="81"/>
            <rFont val="Tahoma"/>
            <family val="2"/>
            <charset val="204"/>
          </rPr>
          <t>Автор:</t>
        </r>
        <r>
          <rPr>
            <sz val="8"/>
            <color indexed="81"/>
            <rFont val="Tahoma"/>
            <family val="2"/>
            <charset val="204"/>
          </rPr>
          <t xml:space="preserve">
Элемент качественной оценки риска ("высокая / средняя / низкая")</t>
        </r>
      </text>
    </comment>
    <comment ref="E4" authorId="0" shapeId="0" xr:uid="{00000000-0006-0000-0100-000005000000}">
      <text>
        <r>
          <rPr>
            <b/>
            <sz val="8"/>
            <color indexed="81"/>
            <rFont val="Tahoma"/>
            <family val="2"/>
            <charset val="204"/>
          </rPr>
          <t>Автор:</t>
        </r>
        <r>
          <rPr>
            <sz val="8"/>
            <color indexed="81"/>
            <rFont val="Tahoma"/>
            <family val="2"/>
            <charset val="204"/>
          </rPr>
          <t xml:space="preserve">
Интегральная качественная оценка риска ("красный" - для самых опасных и приоритетных рисков, "желтый" - для умеренных", "зеленый" - для наименее существенных</t>
        </r>
      </text>
    </comment>
    <comment ref="F4" authorId="0" shapeId="0" xr:uid="{00000000-0006-0000-0100-000006000000}">
      <text>
        <r>
          <rPr>
            <b/>
            <sz val="8"/>
            <color indexed="81"/>
            <rFont val="Tahoma"/>
            <family val="2"/>
            <charset val="204"/>
          </rPr>
          <t>Автор:</t>
        </r>
        <r>
          <rPr>
            <sz val="8"/>
            <color indexed="81"/>
            <rFont val="Tahoma"/>
            <family val="2"/>
            <charset val="204"/>
          </rPr>
          <t xml:space="preserve">
Тезисно - в чем суть (причина, содержание) риска</t>
        </r>
      </text>
    </comment>
    <comment ref="G4" authorId="0" shapeId="0" xr:uid="{00000000-0006-0000-0100-000007000000}">
      <text>
        <r>
          <rPr>
            <b/>
            <sz val="8"/>
            <color indexed="81"/>
            <rFont val="Tahoma"/>
            <family val="2"/>
            <charset val="204"/>
          </rPr>
          <t>Автор:</t>
        </r>
        <r>
          <rPr>
            <sz val="8"/>
            <color indexed="81"/>
            <rFont val="Tahoma"/>
            <family val="2"/>
            <charset val="204"/>
          </rPr>
          <t xml:space="preserve">
Тезисно - в чем суть влияния риска на проект</t>
        </r>
      </text>
    </comment>
    <comment ref="H4" authorId="0" shapeId="0" xr:uid="{00000000-0006-0000-0100-000008000000}">
      <text>
        <r>
          <rPr>
            <b/>
            <sz val="8"/>
            <color indexed="81"/>
            <rFont val="Tahoma"/>
            <family val="2"/>
            <charset val="204"/>
          </rPr>
          <t>Автор:</t>
        </r>
        <r>
          <rPr>
            <sz val="8"/>
            <color indexed="81"/>
            <rFont val="Tahoma"/>
            <family val="2"/>
            <charset val="204"/>
          </rPr>
          <t xml:space="preserve">
Общее название группы, к которой можно отнести данный риск</t>
        </r>
      </text>
    </comment>
    <comment ref="K4" authorId="0" shapeId="0" xr:uid="{00000000-0006-0000-0100-000009000000}">
      <text>
        <r>
          <rPr>
            <b/>
            <sz val="8"/>
            <color indexed="81"/>
            <rFont val="Tahoma"/>
            <family val="2"/>
            <charset val="204"/>
          </rPr>
          <t>Автор:</t>
        </r>
        <r>
          <rPr>
            <sz val="8"/>
            <color indexed="81"/>
            <rFont val="Tahoma"/>
            <family val="2"/>
            <charset val="204"/>
          </rPr>
          <t xml:space="preserve">
Для позитивных рисков: "использование / усиление / разделение"; для негативных рисков: "предотвращение / смягчение / перенос"; для обоих видов риска: "принятие"</t>
        </r>
      </text>
    </comment>
    <comment ref="L4" authorId="0" shapeId="0" xr:uid="{00000000-0006-0000-0100-00000A000000}">
      <text>
        <r>
          <rPr>
            <b/>
            <sz val="8"/>
            <color indexed="81"/>
            <rFont val="Tahoma"/>
            <family val="2"/>
            <charset val="204"/>
          </rPr>
          <t>Автор:</t>
        </r>
        <r>
          <rPr>
            <sz val="8"/>
            <color indexed="81"/>
            <rFont val="Tahoma"/>
            <family val="2"/>
            <charset val="204"/>
          </rPr>
          <t xml:space="preserve">
Лицо ответсвенное за мониторинг триггера и запуск contingency плана</t>
        </r>
      </text>
    </comment>
    <comment ref="M4" authorId="0" shapeId="0" xr:uid="{00000000-0006-0000-0100-00000B000000}">
      <text>
        <r>
          <rPr>
            <b/>
            <sz val="8"/>
            <color indexed="81"/>
            <rFont val="Tahoma"/>
            <family val="2"/>
            <charset val="204"/>
          </rPr>
          <t>Автор:</t>
        </r>
        <r>
          <rPr>
            <sz val="8"/>
            <color indexed="81"/>
            <rFont val="Tahoma"/>
            <family val="2"/>
            <charset val="204"/>
          </rPr>
          <t xml:space="preserve">
Что будем делать, если риск реализовался (не заполняется, если тип стратегии обработки риска - "принятие")</t>
        </r>
      </text>
    </comment>
  </commentList>
</comments>
</file>

<file path=xl/sharedStrings.xml><?xml version="1.0" encoding="utf-8"?>
<sst xmlns="http://schemas.openxmlformats.org/spreadsheetml/2006/main" count="188" uniqueCount="137">
  <si>
    <t>ID</t>
  </si>
  <si>
    <t>Влияние риска</t>
  </si>
  <si>
    <t>Вероятность риска</t>
  </si>
  <si>
    <t>Уровень риска</t>
  </si>
  <si>
    <t>Проект</t>
  </si>
  <si>
    <t>PM</t>
  </si>
  <si>
    <t>&lt;обязательное&gt;</t>
  </si>
  <si>
    <t>Реестр рисков</t>
  </si>
  <si>
    <t>rs-1</t>
  </si>
  <si>
    <t>rs-2</t>
  </si>
  <si>
    <t>rs-3</t>
  </si>
  <si>
    <t>rs-4</t>
  </si>
  <si>
    <t>rs-5</t>
  </si>
  <si>
    <t>rs-6</t>
  </si>
  <si>
    <t>rs-7</t>
  </si>
  <si>
    <t>rs-8</t>
  </si>
  <si>
    <t>rs-9</t>
  </si>
  <si>
    <t>rs-10</t>
  </si>
  <si>
    <t>rs-11</t>
  </si>
  <si>
    <t>rs-12</t>
  </si>
  <si>
    <t>rs-13</t>
  </si>
  <si>
    <t>rs-14</t>
  </si>
  <si>
    <t>rs-15</t>
  </si>
  <si>
    <t>rs-16</t>
  </si>
  <si>
    <t>rs-17</t>
  </si>
  <si>
    <t>rs-18</t>
  </si>
  <si>
    <t>rs-19</t>
  </si>
  <si>
    <t>rs-20</t>
  </si>
  <si>
    <t>rs-21</t>
  </si>
  <si>
    <t>rs-22</t>
  </si>
  <si>
    <t>rs-23</t>
  </si>
  <si>
    <t>rs-24</t>
  </si>
  <si>
    <t>rs-25</t>
  </si>
  <si>
    <t>rs-26</t>
  </si>
  <si>
    <t>Статус
риска</t>
  </si>
  <si>
    <t>Открыт</t>
  </si>
  <si>
    <t>Описание риска</t>
  </si>
  <si>
    <t>NB: строки "проект" и "PM" обязательны для заполнения (соотвтетственно - вносится название проекта и фамилия и имя менеджера проекта)</t>
  </si>
  <si>
    <t>Поле</t>
  </si>
  <si>
    <t>Алгоритм заполнения</t>
  </si>
  <si>
    <t>Уникальный идентификатор требования (st + инкремент)</t>
  </si>
  <si>
    <t>Влияние на проект</t>
  </si>
  <si>
    <t>Статус риска</t>
  </si>
  <si>
    <t>Триггеры</t>
  </si>
  <si>
    <t>"Открыт" для рисков, которые актуальны; "закрыт" для рисков, более не актуальных на преокте (реализовавшихся, ставших невозможными и т.п.)</t>
  </si>
  <si>
    <t>Элемент качественной оценки риска ("высокое / среднее / низкое")</t>
  </si>
  <si>
    <t>Элемент качественной оценки риска ("высокая / средняя / низкая")</t>
  </si>
  <si>
    <t>Интегральная качественная оценка риска ("красный" - для самых опасных и приоритетных рисков, "желтый" - для умеренных", "зеленый" - для наименее существенных</t>
  </si>
  <si>
    <t>Тезисно - в чем суть (причина, содержание) риска</t>
  </si>
  <si>
    <t>Для позитивных рисков: "использование / усиление / разделение"; для негативных рисков: "предотвращение / смягчение / перенос"; для обоих видов риска: "принятие"</t>
  </si>
  <si>
    <t>Что будем делать для того, чтобы реализовать стратегию обработки риска</t>
  </si>
  <si>
    <t>Тип стратегии обработки риска</t>
  </si>
  <si>
    <t>Что будем делать, если риск реализовался (не заполняется, если тип стратегии обработки риска - "принятие")</t>
  </si>
  <si>
    <t>Область
риска</t>
  </si>
  <si>
    <t>Область риска</t>
  </si>
  <si>
    <t>Общее название группы, к которой можно отнести данный риск</t>
  </si>
  <si>
    <t>Тезисно - в чем суть влияния риска на проект</t>
  </si>
  <si>
    <t>Хозяин
риска</t>
  </si>
  <si>
    <t>Хозяин риска</t>
  </si>
  <si>
    <t>Лицо ответсвенное за мониторинг триггера и запуск contingency плана</t>
  </si>
  <si>
    <t>Среднее</t>
  </si>
  <si>
    <t>Высокая</t>
  </si>
  <si>
    <t>Низкая</t>
  </si>
  <si>
    <t>Смягчение</t>
  </si>
  <si>
    <t>План А
(contingency план)</t>
  </si>
  <si>
    <t>План Б
(management plan)</t>
  </si>
  <si>
    <t>План А (contingency plan)</t>
  </si>
  <si>
    <t>План Б (fallback plan)</t>
  </si>
  <si>
    <t>Условия для запуска действий по плану Б (одновременно - признак того, что риск реализовался)</t>
  </si>
  <si>
    <t>Средняя</t>
  </si>
  <si>
    <t>Изменение/нестабильность API Telegram Bot API, приводящее к неработоспособности коннектора.</t>
  </si>
  <si>
    <t>Задержка разработки, необходимость переписывания модуля. Невозможность сбора данных из Telegram.</t>
  </si>
  <si>
    <t>Интеграция</t>
  </si>
  <si>
    <t>Регулярный мониторинг changelog Telegram Bot API. Использование абстракции в коде коннектора для легкой замены клиента.</t>
  </si>
  <si>
    <t>Официальное объявление об изменениях API или падение интеграционных тестов коннектора.</t>
  </si>
  <si>
    <t>Лысин К.С.</t>
  </si>
  <si>
    <t>Переход на использование MTProto API (более стабильный, но сложный) или отказ от Telegram как обязательного источника на этапе MVP.</t>
  </si>
  <si>
    <t>Высокое</t>
  </si>
  <si>
    <t>Академическая нагрузка (сессия, другие проекты) участников превышает ожидаемую, приводя к срыву внутренних дедлайнов и риску не успеть к защите ВКР.</t>
  </si>
  <si>
    <t>Срыв ключевых вех проекта, низкое качество финального продукта из-за спешки, провал защиты.</t>
  </si>
  <si>
    <t>Время / Сроки</t>
  </si>
  <si>
    <t>Составление реалистичного графика с учетом учебного расписания. Еженедельный мониторинг прогресса и нагрузки. Приоритизация задач по методу MoSCoW.</t>
  </si>
  <si>
    <t>Отставание от плана на 2 недели подряд. Жалобы участников на невозможность выполнять задачи в срок.</t>
  </si>
  <si>
    <t>Пересмотр и упрощение scope проекта (согласование с научным руководителем). Фокус на обязательных для защиты модулях (Moscow). Привлечение дополнительного времени за счет управленческого резерва (личного).</t>
  </si>
  <si>
    <t>Выбранный LLM-провайдер (OpenAI, Yandex GPT и т.д.) изменяет тарифы, ограничивает бесплатный доступ или API, делая интеграцию невозможной в рамках бесплатного/учебного бюджета.</t>
  </si>
  <si>
    <t>Необходимость срочного поиска и интеграции альтернативы. Потеря времени. Риск невыполнения требований ТЗ по точности классификации.</t>
  </si>
  <si>
    <t>Технологии / LLM</t>
  </si>
  <si>
    <t>Исследование и тестирование нескольких LLM-провайдеров на старте (OpenAI, открытые модели через Hugging Face, Yandex GPT). Использование абстракционного слоя для вызова LLM.</t>
  </si>
  <si>
    <t>Официальное уведомление об изменении тарифов или отключение API-ключа.</t>
  </si>
  <si>
    <t>Перенос</t>
  </si>
  <si>
    <t>Быстрое переключение на запасного провайдера (например, локальный запуск модели Mixtral через Ollama). Согласование с научруком изменения требований к точности.</t>
  </si>
  <si>
    <t>Невозможность реализации ключевой функциональности (сбор данных). Проект теряет основную ценность.</t>
  </si>
  <si>
    <t>Тщательное изучение требований Google Cloud Console к типам приложений (Internal/External). Создание приложения заранее и прохождение верификации до начала активной разработки коннекторов. Использование тестовых аккаунтов.</t>
  </si>
  <si>
    <t>Получение официального отказа от Google или технической ошибки "access denied" при запросе scope.</t>
  </si>
  <si>
    <t>Сложность разработки, отладки и достижения нативного UX в React Native приложении для iOS/Android из-за недостаточного опыта основного разработчика (Лысин К.С.) в этой технологии.</t>
  </si>
  <si>
    <t>Задержка в разработке фронтенда. Плохой пользовательский опыт в финальном продукте. Низкие оценки на защите.</t>
  </si>
  <si>
    <t>Квалификация</t>
  </si>
  <si>
    <t>Выделение времени на обучение (курсы, документация) до начала активной разработки. Активное привлечение консультанта по UI/UX (Полях Е.С.) на этапе проектирования и тестирования. Использование готовых UI-библиотек (например, React Native Paper).</t>
  </si>
  <si>
    <t>Задачи по фронтенду регулярно срывают оценки по срокам. Прототип имеет критичные баги или лаги.</t>
  </si>
  <si>
    <t>Упрощение интерфейса (переход к более простому, но работающему UI). Рассмотрение возможности использовать кроссплатформенный фреймворк с более низким порогом входа (Flutter) на ранней стадии (маловероятно).</t>
  </si>
  <si>
    <t>Сложность интеграции независимо разрабатываемых модулей (коннекторы на C#, LLM-обработчик на Python, сервис агрегации) из-за ошибок в проектировании API или асинхронного взаимодействия.</t>
  </si>
  <si>
    <t>Невозможность собрать работающую систему. Много времени уходит на исправление межмодульного взаимодействия вместо реализации функционала.</t>
  </si>
  <si>
    <t>Архитектура</t>
  </si>
  <si>
    <t>Ранняя разработка и утверждение контрактов API (OpenAPI для REST, .proto для gRPC) между модулями. Использование контрактного тестирования (Pact). Регулярные (раз в 2 недели) интеграционные сборки.</t>
  </si>
  <si>
    <t>Интеграционные тесты не проходят. Разработчики модулей не могут договориться о формате данных.</t>
  </si>
  <si>
    <t>Срочный пересмотр архитектуры с упрощением (например, отказ от асинхронной очереди в пользу синхронных вызовов на первом этапе). Централизация координации разработки на одном человеке.</t>
  </si>
  <si>
    <t>Превышение лимитов бесплатных квот на Yandex Cloud (вычислительные ресурсы, базы данных, трафик), ведущее к остановке тестового окружения или неожиданным расходам.</t>
  </si>
  <si>
    <t>Остановка разработки и тестирования. Необходимость срочно искать финансирование или альтернативу, что отнимает время.</t>
  </si>
  <si>
    <t>Ресурсы</t>
  </si>
  <si>
    <t>Регулярный мониторинг потребления ресурсов в кабинете Yandex Cloud. Настройка алертов при достижении 70% лимита. Оптимизация использования ресурсов (остановка неиспользуемых ВМ, использование менее мощных инстансов).</t>
  </si>
  <si>
    <t>Получение уведомления от Yandex Cloud о превышении квоты или отключение сервиса.</t>
  </si>
  <si>
    <t>Иванов М.Р.</t>
  </si>
  <si>
    <t>Научный руководитель (С.А. Виденин) или академический руководитель (Н.А. Павлочев) недоступен для своевременного согласования ключевых решений (архитектура, изменения в ТЗ).</t>
  </si>
  <si>
    <t>Блокировка разработки на этапах, требующих утверждения. Задержка проекта.</t>
  </si>
  <si>
    <t>Внешние зависимости</t>
  </si>
  <si>
    <t>Четкое планирование встреч и запросов на согласование заранее, с указанием дедлайнов. Использование письменной формы (email) для фиксации вопросов и получения формального ответа. Создание промежуточных версий документов для обсуждения.</t>
  </si>
  <si>
    <t>Отсутствие ответа на запрос о согласовании в течение 7 рабочих дней.</t>
  </si>
  <si>
    <t>Принятие</t>
  </si>
  <si>
    <t>Принятие решения командой проекта с фиксацией риска и уведомлением руководителя о вынужденном шаге. Действие в рамках согласованного ранее общего видения и Устава.</t>
  </si>
  <si>
    <t>Недостаточное покрытие кода модулей unit- и интеграционными тестами из-за нехватки времени или опыта, что приводит к скрытым ошибкам, выявляемым на поздних стадиях.</t>
  </si>
  <si>
    <t>Резкое увеличение времени на стабилизацию продукта перед сдачей. Низкая надежность демонстрации на защите.</t>
  </si>
  <si>
    <t>Качество</t>
  </si>
  <si>
    <t>Внедрение принципа "тесты вместе с кодом" в Definition of Done. Использование CI/CD (GitHub Actions) для автоматического прогона тестов. Проведение регулярных (раз в спринт) сессий парного программирования для написания тестов.</t>
  </si>
  <si>
    <t>Обнаружение критического бага в модуле, который считался готовым. Резкий рост времени на отладку.</t>
  </si>
  <si>
    <t>Выделение отдельного спринта (или части спринта) исключительно на "стабилизацию" и написание критически важных тестов. Фокус на тестирование ключевых сценариев (happy path).</t>
  </si>
  <si>
    <t>Ошибка в реализации или настройке безопасности, приводящая к утечке или некорректному хранению OAuth-токенов пользователей, что создает риск компрометации их аккаунтов.</t>
  </si>
  <si>
    <t>Потеря доверия, юридические риски (если используются реальные аккаунты), провал защиты как проекта, нарушающего базовые принципы безопасности.</t>
  </si>
  <si>
    <t>Данные / Безопасность</t>
  </si>
  <si>
    <t>Следование best practices для работы с OAuth 2.0 (использование проверенных библиотек, шифрование токенов при хранении, минимальные scope). Проведение security review кода ответственным за инфраструктуру (Иванов М.Р.) на ранних этапах.</t>
  </si>
  <si>
    <t>Обнаружение уязвимости сканером безопасности или получение сообщения о подозрительной активности.</t>
  </si>
  <si>
    <t>Немедленный вывод системы из эксплуатации (остановка серверов). Сброс всех выданных токенов. Уведомление научного руководителя и тестовых пользователей. Глубокий аудит и переработка модуля безопасности.</t>
  </si>
  <si>
    <t>Предотвращени</t>
  </si>
  <si>
    <t xml:space="preserve">	Сложность получения или неожиданный отказ в верификации OAuth 2.0 приложения для доступа к данным пользователя Gmail/Calendar из-за ужесточения политик безопасности Google.</t>
  </si>
  <si>
    <t xml:space="preserve">	Использование альтернативных методов доступа (например, IMAP для почты, если доступен). Акцент на других источниках данных (Telegram, локальный календарь). Согласование изменения scope</t>
  </si>
  <si>
    <t>Использование альтернативных бесплатных хостингов (Render, Railway, Fly.io) для некритичных сервисов. Обращение к научному руководителю за помощью в получении образовательного гранта или квоты.</t>
  </si>
  <si>
    <t>Personage</t>
  </si>
  <si>
    <t>Лысин Кирилл Сергеевич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</si>
</sst>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11" x14ac:knownFonts="1">
    <font>
      <sz val="10"/>
      <name val="Arial"/>
    </font>
    <font>
      <sz val="8"/>
      <name val="Arial"/>
      <family val="2"/>
      <charset val="204"/>
    </font>
    <font>
      <sz val="10"/>
      <name val="Arial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8"/>
      <color indexed="81"/>
      <name val="Tahoma"/>
      <family val="2"/>
      <charset val="204"/>
    </font>
    <font>
      <b/>
      <sz val="8"/>
      <color indexed="81"/>
      <name val="Tahoma"/>
      <family val="2"/>
      <charset val="204"/>
    </font>
    <font>
      <sz val="11"/>
      <name val="Segoe UI"/>
      <family val="2"/>
      <charset val="204"/>
    </font>
    <font>
      <sz val="8"/>
      <color indexed="9"/>
      <name val="Arial"/>
      <family val="2"/>
      <charset val="204"/>
    </font>
    <font>
      <sz val="14"/>
      <color indexed="9"/>
      <name val="Arial"/>
      <family val="2"/>
      <charset val="204"/>
    </font>
    <font>
      <sz val="7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3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4" fillId="5" borderId="9" xfId="0" applyFont="1" applyFill="1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3" fillId="0" borderId="9" xfId="0" applyFont="1" applyBorder="1" applyAlignment="1">
      <alignment vertical="top" wrapText="1"/>
    </xf>
    <xf numFmtId="0" fontId="1" fillId="6" borderId="9" xfId="0" applyFont="1" applyFill="1" applyBorder="1" applyAlignment="1">
      <alignment vertical="top" wrapText="1"/>
    </xf>
    <xf numFmtId="0" fontId="1" fillId="6" borderId="29" xfId="0" applyFont="1" applyFill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9" xfId="0" applyFont="1" applyBorder="1" applyAlignment="1">
      <alignment vertical="top"/>
    </xf>
    <xf numFmtId="0" fontId="1" fillId="0" borderId="18" xfId="0" applyFont="1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1" fillId="0" borderId="25" xfId="0" applyFont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2" fillId="0" borderId="8" xfId="0" applyFont="1" applyBorder="1"/>
    <xf numFmtId="0" fontId="2" fillId="0" borderId="9" xfId="0" applyFont="1" applyBorder="1"/>
    <xf numFmtId="0" fontId="7" fillId="0" borderId="0" xfId="0" applyFont="1"/>
    <xf numFmtId="49" fontId="8" fillId="2" borderId="3" xfId="0" applyNumberFormat="1" applyFont="1" applyFill="1" applyBorder="1" applyAlignment="1">
      <alignment vertical="center"/>
    </xf>
    <xf numFmtId="49" fontId="8" fillId="2" borderId="3" xfId="0" applyNumberFormat="1" applyFont="1" applyFill="1" applyBorder="1" applyAlignment="1">
      <alignment vertical="center" wrapText="1"/>
    </xf>
    <xf numFmtId="49" fontId="8" fillId="2" borderId="4" xfId="0" applyNumberFormat="1" applyFont="1" applyFill="1" applyBorder="1" applyAlignment="1">
      <alignment vertical="center" wrapText="1"/>
    </xf>
    <xf numFmtId="49" fontId="8" fillId="2" borderId="20" xfId="0" applyNumberFormat="1" applyFont="1" applyFill="1" applyBorder="1" applyAlignment="1">
      <alignment vertical="center" wrapText="1"/>
    </xf>
    <xf numFmtId="0" fontId="9" fillId="0" borderId="0" xfId="0" applyFont="1" applyFill="1" applyBorder="1" applyAlignment="1">
      <alignment vertical="center"/>
    </xf>
    <xf numFmtId="49" fontId="1" fillId="3" borderId="1" xfId="0" applyNumberFormat="1" applyFont="1" applyFill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2" fillId="0" borderId="4" xfId="0" applyFont="1" applyBorder="1"/>
    <xf numFmtId="0" fontId="2" fillId="0" borderId="0" xfId="0" applyFont="1"/>
    <xf numFmtId="49" fontId="1" fillId="0" borderId="5" xfId="0" applyNumberFormat="1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49" fontId="1" fillId="0" borderId="20" xfId="0" applyNumberFormat="1" applyFont="1" applyBorder="1" applyAlignment="1">
      <alignment vertical="center" wrapText="1"/>
    </xf>
    <xf numFmtId="49" fontId="1" fillId="0" borderId="30" xfId="0" applyNumberFormat="1" applyFont="1" applyBorder="1" applyAlignment="1">
      <alignment vertical="center"/>
    </xf>
    <xf numFmtId="0" fontId="2" fillId="0" borderId="27" xfId="0" applyFont="1" applyBorder="1"/>
    <xf numFmtId="0" fontId="2" fillId="6" borderId="0" xfId="0" applyFont="1" applyFill="1" applyBorder="1" applyAlignment="1">
      <alignment vertical="center"/>
    </xf>
    <xf numFmtId="0" fontId="2" fillId="6" borderId="21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Border="1" applyAlignment="1">
      <alignment vertical="center"/>
    </xf>
    <xf numFmtId="49" fontId="1" fillId="3" borderId="2" xfId="0" applyNumberFormat="1" applyFont="1" applyFill="1" applyBorder="1" applyAlignment="1">
      <alignment vertical="center"/>
    </xf>
    <xf numFmtId="49" fontId="1" fillId="0" borderId="0" xfId="0" applyNumberFormat="1" applyFont="1" applyBorder="1" applyAlignment="1">
      <alignment vertical="center" wrapText="1"/>
    </xf>
    <xf numFmtId="0" fontId="1" fillId="0" borderId="0" xfId="0" applyFont="1" applyBorder="1" applyAlignment="1">
      <alignment vertical="center"/>
    </xf>
    <xf numFmtId="49" fontId="1" fillId="0" borderId="21" xfId="0" applyNumberFormat="1" applyFont="1" applyBorder="1" applyAlignment="1">
      <alignment vertical="center" wrapText="1"/>
    </xf>
    <xf numFmtId="0" fontId="2" fillId="0" borderId="28" xfId="0" applyFont="1" applyBorder="1"/>
    <xf numFmtId="0" fontId="1" fillId="0" borderId="0" xfId="0" applyFont="1" applyBorder="1" applyAlignment="1">
      <alignment horizontal="center" vertical="center"/>
    </xf>
    <xf numFmtId="49" fontId="10" fillId="0" borderId="18" xfId="0" applyNumberFormat="1" applyFont="1" applyBorder="1" applyAlignment="1">
      <alignment horizontal="left" vertical="top"/>
    </xf>
    <xf numFmtId="0" fontId="2" fillId="0" borderId="14" xfId="0" applyNumberFormat="1" applyFont="1" applyBorder="1" applyAlignment="1">
      <alignment horizontal="center" vertical="top"/>
    </xf>
    <xf numFmtId="0" fontId="1" fillId="0" borderId="9" xfId="0" applyFont="1" applyBorder="1" applyAlignment="1">
      <alignment vertical="top" wrapText="1"/>
    </xf>
    <xf numFmtId="0" fontId="2" fillId="0" borderId="8" xfId="0" applyFont="1" applyBorder="1" applyAlignment="1">
      <alignment vertical="top"/>
    </xf>
    <xf numFmtId="0" fontId="1" fillId="6" borderId="25" xfId="0" applyFont="1" applyFill="1" applyBorder="1" applyAlignment="1">
      <alignment vertical="top" wrapText="1"/>
    </xf>
    <xf numFmtId="0" fontId="2" fillId="0" borderId="0" xfId="0" applyFont="1" applyBorder="1" applyAlignment="1"/>
    <xf numFmtId="0" fontId="1" fillId="0" borderId="6" xfId="0" applyNumberFormat="1" applyFont="1" applyBorder="1" applyAlignment="1">
      <alignment vertical="top" wrapText="1"/>
    </xf>
    <xf numFmtId="0" fontId="1" fillId="0" borderId="7" xfId="0" applyNumberFormat="1" applyFont="1" applyBorder="1" applyAlignment="1">
      <alignment vertical="top" wrapText="1"/>
    </xf>
    <xf numFmtId="0" fontId="1" fillId="0" borderId="8" xfId="0" applyNumberFormat="1" applyFont="1" applyBorder="1" applyAlignment="1">
      <alignment vertical="top" wrapText="1"/>
    </xf>
    <xf numFmtId="0" fontId="1" fillId="0" borderId="9" xfId="0" applyNumberFormat="1" applyFont="1" applyBorder="1" applyAlignment="1">
      <alignment vertical="top" wrapText="1"/>
    </xf>
    <xf numFmtId="49" fontId="1" fillId="0" borderId="14" xfId="0" applyNumberFormat="1" applyFont="1" applyBorder="1" applyAlignment="1">
      <alignment horizontal="center" vertical="top"/>
    </xf>
    <xf numFmtId="49" fontId="10" fillId="0" borderId="19" xfId="0" applyNumberFormat="1" applyFont="1" applyBorder="1" applyAlignment="1">
      <alignment horizontal="left" vertical="top"/>
    </xf>
    <xf numFmtId="0" fontId="2" fillId="0" borderId="10" xfId="0" applyFont="1" applyBorder="1"/>
    <xf numFmtId="0" fontId="1" fillId="0" borderId="10" xfId="0" applyNumberFormat="1" applyFont="1" applyBorder="1" applyAlignment="1">
      <alignment vertical="top" wrapText="1"/>
    </xf>
    <xf numFmtId="0" fontId="1" fillId="0" borderId="16" xfId="0" applyNumberFormat="1" applyFont="1" applyBorder="1" applyAlignment="1">
      <alignment vertical="top" wrapText="1"/>
    </xf>
    <xf numFmtId="0" fontId="2" fillId="0" borderId="11" xfId="0" applyFont="1" applyBorder="1"/>
    <xf numFmtId="49" fontId="1" fillId="0" borderId="23" xfId="0" applyNumberFormat="1" applyFont="1" applyBorder="1" applyAlignment="1">
      <alignment horizontal="center" vertical="top"/>
    </xf>
    <xf numFmtId="0" fontId="1" fillId="0" borderId="11" xfId="0" applyNumberFormat="1" applyFont="1" applyBorder="1" applyAlignment="1">
      <alignment vertical="top" wrapText="1"/>
    </xf>
    <xf numFmtId="49" fontId="10" fillId="0" borderId="0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wrapText="1"/>
    </xf>
    <xf numFmtId="49" fontId="9" fillId="2" borderId="1" xfId="0" applyNumberFormat="1" applyFont="1" applyFill="1" applyBorder="1" applyAlignment="1">
      <alignment vertical="center"/>
    </xf>
    <xf numFmtId="49" fontId="1" fillId="4" borderId="13" xfId="0" applyNumberFormat="1" applyFont="1" applyFill="1" applyBorder="1" applyAlignment="1">
      <alignment horizontal="center" vertical="center"/>
    </xf>
    <xf numFmtId="49" fontId="1" fillId="4" borderId="17" xfId="0" applyNumberFormat="1" applyFont="1" applyFill="1" applyBorder="1" applyAlignment="1">
      <alignment horizontal="center" vertical="center" wrapText="1"/>
    </xf>
    <xf numFmtId="164" fontId="1" fillId="4" borderId="17" xfId="0" applyNumberFormat="1" applyFont="1" applyFill="1" applyBorder="1" applyAlignment="1">
      <alignment horizontal="center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49" fontId="1" fillId="4" borderId="12" xfId="0" applyNumberFormat="1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164" fontId="1" fillId="4" borderId="26" xfId="0" applyNumberFormat="1" applyFont="1" applyFill="1" applyBorder="1" applyAlignment="1">
      <alignment horizontal="center" vertical="center" wrapText="1"/>
    </xf>
    <xf numFmtId="49" fontId="1" fillId="4" borderId="24" xfId="0" applyNumberFormat="1" applyFont="1" applyFill="1" applyBorder="1" applyAlignment="1">
      <alignment horizontal="center" vertical="center" wrapText="1"/>
    </xf>
    <xf numFmtId="49" fontId="1" fillId="4" borderId="15" xfId="0" applyNumberFormat="1" applyFont="1" applyFill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9" xfId="0" applyFont="1" applyBorder="1" applyAlignment="1">
      <alignment vertical="top" wrapText="1"/>
    </xf>
    <xf numFmtId="0" fontId="1" fillId="0" borderId="16" xfId="0" applyFont="1" applyBorder="1" applyAlignment="1">
      <alignment vertical="top" wrapText="1"/>
    </xf>
  </cellXfs>
  <cellStyles count="1">
    <cellStyle name="Обычный" xfId="0" builtinId="0"/>
  </cellStyles>
  <dxfs count="14">
    <dxf>
      <fill>
        <patternFill>
          <bgColor rgb="FFCCFFFF"/>
        </patternFill>
      </fill>
    </dxf>
    <dxf>
      <fill>
        <patternFill>
          <bgColor rgb="FFFF99CC"/>
        </patternFill>
      </fill>
    </dxf>
    <dxf>
      <fill>
        <patternFill>
          <bgColor rgb="FFFFFF99"/>
        </patternFill>
      </fill>
    </dxf>
    <dxf>
      <fill>
        <patternFill>
          <bgColor rgb="FFCCFFCC"/>
        </patternFill>
      </fill>
    </dxf>
    <dxf>
      <fill>
        <patternFill>
          <bgColor rgb="FFFF99CC"/>
        </patternFill>
      </fill>
    </dxf>
    <dxf>
      <fill>
        <patternFill>
          <bgColor rgb="FFFFFF99"/>
        </patternFill>
      </fill>
    </dxf>
    <dxf>
      <fill>
        <patternFill>
          <bgColor rgb="FFFF99CC"/>
        </patternFill>
      </fill>
    </dxf>
    <dxf>
      <fill>
        <patternFill>
          <bgColor rgb="FFFFFF99"/>
        </patternFill>
      </fill>
    </dxf>
    <dxf>
      <fill>
        <patternFill>
          <bgColor rgb="FFCCFFCC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eze3/Local%20Settings/Temporary%20Internet%20Files/OLK23B/CDC_UP_Risk_Management_Log_Template_v1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ctions"/>
      <sheetName val="Risk_Tracking_Log"/>
      <sheetName val="DropDown_Elements"/>
    </sheetNames>
    <sheetDataSet>
      <sheetData sheetId="0"/>
      <sheetData sheetId="1"/>
      <sheetData sheetId="2">
        <row r="2">
          <cell r="A2" t="str">
            <v>Schedule</v>
          </cell>
        </row>
        <row r="3">
          <cell r="A3" t="str">
            <v>Initial Costs</v>
          </cell>
        </row>
        <row r="4">
          <cell r="A4" t="str">
            <v>Life-cycle Costs</v>
          </cell>
        </row>
        <row r="5">
          <cell r="A5" t="str">
            <v>Technical Obsolescence</v>
          </cell>
        </row>
        <row r="6">
          <cell r="A6" t="str">
            <v>Feasibility</v>
          </cell>
        </row>
        <row r="7">
          <cell r="A7" t="str">
            <v>Reliability of Systems</v>
          </cell>
        </row>
        <row r="8">
          <cell r="A8" t="str">
            <v>Dependencies/Interoperability</v>
          </cell>
        </row>
        <row r="9">
          <cell r="A9" t="str">
            <v>Surety Considerations</v>
          </cell>
        </row>
        <row r="10">
          <cell r="A10" t="str">
            <v>Future Procurements</v>
          </cell>
        </row>
        <row r="11">
          <cell r="A11" t="str">
            <v>Project Management</v>
          </cell>
        </row>
        <row r="12">
          <cell r="A12" t="str">
            <v>Overall Project Failure</v>
          </cell>
        </row>
        <row r="13">
          <cell r="A13" t="str">
            <v>Organizational/Change Management</v>
          </cell>
        </row>
        <row r="14">
          <cell r="A14" t="str">
            <v>Business</v>
          </cell>
        </row>
        <row r="15">
          <cell r="A15" t="str">
            <v>Data/Information</v>
          </cell>
        </row>
        <row r="16">
          <cell r="A16" t="str">
            <v>Technology</v>
          </cell>
        </row>
        <row r="17">
          <cell r="A17" t="str">
            <v>Strategic</v>
          </cell>
        </row>
        <row r="18">
          <cell r="A18" t="str">
            <v>Security</v>
          </cell>
        </row>
        <row r="19">
          <cell r="A19" t="str">
            <v>Privacy</v>
          </cell>
        </row>
        <row r="20">
          <cell r="A20" t="str">
            <v>Project Resources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7"/>
  <sheetViews>
    <sheetView workbookViewId="0">
      <selection activeCell="D8" sqref="D8"/>
    </sheetView>
  </sheetViews>
  <sheetFormatPr defaultColWidth="9.17578125" defaultRowHeight="12.7" x14ac:dyDescent="0.4"/>
  <cols>
    <col min="1" max="1" width="9.17578125" style="2"/>
    <col min="2" max="2" width="17.46875" style="2" customWidth="1"/>
    <col min="3" max="3" width="55.8203125" style="2" customWidth="1"/>
    <col min="4" max="16384" width="9.17578125" style="2"/>
  </cols>
  <sheetData>
    <row r="2" spans="2:3" x14ac:dyDescent="0.4">
      <c r="B2" s="1" t="s">
        <v>37</v>
      </c>
    </row>
    <row r="3" spans="2:3" x14ac:dyDescent="0.4">
      <c r="B3" s="1"/>
    </row>
    <row r="4" spans="2:3" ht="16.5" customHeight="1" x14ac:dyDescent="0.4">
      <c r="B4" s="3" t="s">
        <v>38</v>
      </c>
      <c r="C4" s="3" t="s">
        <v>39</v>
      </c>
    </row>
    <row r="5" spans="2:3" x14ac:dyDescent="0.4">
      <c r="B5" s="4" t="s">
        <v>0</v>
      </c>
      <c r="C5" s="5" t="s">
        <v>40</v>
      </c>
    </row>
    <row r="6" spans="2:3" ht="38" x14ac:dyDescent="0.4">
      <c r="B6" s="4" t="s">
        <v>42</v>
      </c>
      <c r="C6" s="5" t="s">
        <v>44</v>
      </c>
    </row>
    <row r="7" spans="2:3" ht="25.35" x14ac:dyDescent="0.4">
      <c r="B7" s="4" t="s">
        <v>1</v>
      </c>
      <c r="C7" s="5" t="s">
        <v>45</v>
      </c>
    </row>
    <row r="8" spans="2:3" ht="25.35" x14ac:dyDescent="0.4">
      <c r="B8" s="4" t="s">
        <v>2</v>
      </c>
      <c r="C8" s="5" t="s">
        <v>46</v>
      </c>
    </row>
    <row r="9" spans="2:3" ht="38" x14ac:dyDescent="0.4">
      <c r="B9" s="4" t="s">
        <v>3</v>
      </c>
      <c r="C9" s="5" t="s">
        <v>47</v>
      </c>
    </row>
    <row r="10" spans="2:3" x14ac:dyDescent="0.4">
      <c r="B10" s="4" t="s">
        <v>36</v>
      </c>
      <c r="C10" s="5" t="s">
        <v>48</v>
      </c>
    </row>
    <row r="11" spans="2:3" x14ac:dyDescent="0.4">
      <c r="B11" s="4" t="s">
        <v>41</v>
      </c>
      <c r="C11" s="5" t="s">
        <v>56</v>
      </c>
    </row>
    <row r="12" spans="2:3" x14ac:dyDescent="0.4">
      <c r="B12" s="5" t="s">
        <v>54</v>
      </c>
      <c r="C12" s="5" t="s">
        <v>55</v>
      </c>
    </row>
    <row r="13" spans="2:3" ht="25.35" x14ac:dyDescent="0.4">
      <c r="B13" s="8" t="s">
        <v>66</v>
      </c>
      <c r="C13" s="5" t="s">
        <v>50</v>
      </c>
    </row>
    <row r="14" spans="2:3" ht="25.35" x14ac:dyDescent="0.4">
      <c r="B14" s="5" t="s">
        <v>43</v>
      </c>
      <c r="C14" s="8" t="s">
        <v>68</v>
      </c>
    </row>
    <row r="15" spans="2:3" ht="38" x14ac:dyDescent="0.4">
      <c r="B15" s="5" t="s">
        <v>51</v>
      </c>
      <c r="C15" s="5" t="s">
        <v>49</v>
      </c>
    </row>
    <row r="16" spans="2:3" ht="25.35" x14ac:dyDescent="0.4">
      <c r="B16" s="5" t="s">
        <v>58</v>
      </c>
      <c r="C16" s="5" t="s">
        <v>59</v>
      </c>
    </row>
    <row r="17" spans="2:3" ht="25.35" x14ac:dyDescent="0.4">
      <c r="B17" s="8" t="s">
        <v>67</v>
      </c>
      <c r="C17" s="5" t="s">
        <v>52</v>
      </c>
    </row>
  </sheetData>
  <phoneticPr fontId="1" type="noConversion"/>
  <printOptions horizontalCentered="1"/>
  <pageMargins left="0.25" right="0.25" top="0.25" bottom="0.25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tabSelected="1" zoomScaleNormal="100" workbookViewId="0">
      <selection activeCell="E2" sqref="E2"/>
    </sheetView>
  </sheetViews>
  <sheetFormatPr defaultColWidth="9.17578125" defaultRowHeight="12.7" x14ac:dyDescent="0.4"/>
  <cols>
    <col min="1" max="1" width="6" style="59" customWidth="1"/>
    <col min="2" max="2" width="7.8203125" style="60" customWidth="1"/>
    <col min="3" max="3" width="10.46875" style="60" bestFit="1" customWidth="1"/>
    <col min="4" max="4" width="9.46875" style="60" customWidth="1"/>
    <col min="5" max="5" width="8.46875" style="60" customWidth="1"/>
    <col min="6" max="7" width="34" style="61" customWidth="1"/>
    <col min="8" max="8" width="14.64453125" style="61" customWidth="1"/>
    <col min="9" max="9" width="30.8203125" style="61" customWidth="1"/>
    <col min="10" max="10" width="24.64453125" style="61" customWidth="1"/>
    <col min="11" max="11" width="12.46875" style="61" customWidth="1"/>
    <col min="12" max="12" width="11" style="61" customWidth="1"/>
    <col min="13" max="13" width="27.46875" style="61" customWidth="1"/>
    <col min="14" max="14" width="9.17578125" style="46"/>
    <col min="15" max="15" width="6" style="46" customWidth="1"/>
    <col min="16" max="16384" width="9.17578125" style="46"/>
  </cols>
  <sheetData>
    <row r="1" spans="1:21" s="21" customFormat="1" ht="17.7" thickBot="1" x14ac:dyDescent="0.45">
      <c r="A1" s="62" t="s">
        <v>7</v>
      </c>
      <c r="B1" s="17"/>
      <c r="C1" s="17"/>
      <c r="D1" s="17"/>
      <c r="E1" s="17"/>
      <c r="F1" s="18"/>
      <c r="G1" s="18"/>
      <c r="H1" s="19"/>
      <c r="I1" s="62" t="s">
        <v>7</v>
      </c>
      <c r="J1" s="19"/>
      <c r="K1" s="20"/>
      <c r="L1" s="19"/>
      <c r="M1" s="19"/>
    </row>
    <row r="2" spans="1:21" s="34" customFormat="1" ht="13" thickBot="1" x14ac:dyDescent="0.45">
      <c r="A2" s="22" t="s">
        <v>4</v>
      </c>
      <c r="B2" s="23" t="s">
        <v>135</v>
      </c>
      <c r="C2" s="24"/>
      <c r="D2" s="25"/>
      <c r="E2" s="26"/>
      <c r="F2" s="27"/>
      <c r="G2" s="26"/>
      <c r="H2" s="28"/>
      <c r="I2" s="22" t="s">
        <v>4</v>
      </c>
      <c r="J2" s="29" t="s">
        <v>6</v>
      </c>
      <c r="K2" s="30"/>
      <c r="L2" s="31"/>
      <c r="M2" s="32"/>
      <c r="N2" s="33"/>
      <c r="O2" s="33"/>
      <c r="P2" s="33"/>
      <c r="Q2" s="33"/>
      <c r="R2" s="33"/>
      <c r="S2" s="33"/>
      <c r="T2" s="33"/>
      <c r="U2" s="33"/>
    </row>
    <row r="3" spans="1:21" s="34" customFormat="1" ht="13" thickBot="1" x14ac:dyDescent="0.45">
      <c r="A3" s="35" t="s">
        <v>5</v>
      </c>
      <c r="B3" s="23" t="s">
        <v>136</v>
      </c>
      <c r="C3" s="24"/>
      <c r="D3" s="25"/>
      <c r="E3" s="36"/>
      <c r="F3" s="37"/>
      <c r="G3" s="36"/>
      <c r="H3" s="38"/>
      <c r="I3" s="35" t="s">
        <v>5</v>
      </c>
      <c r="J3" s="29" t="s">
        <v>6</v>
      </c>
      <c r="K3" s="39"/>
      <c r="L3" s="31"/>
      <c r="M3" s="32"/>
      <c r="N3" s="33"/>
      <c r="O3" s="33"/>
      <c r="P3" s="33"/>
      <c r="Q3" s="33"/>
      <c r="R3" s="33"/>
      <c r="S3" s="33"/>
      <c r="T3" s="33"/>
      <c r="U3" s="33"/>
    </row>
    <row r="4" spans="1:21" s="40" customFormat="1" ht="21" thickBot="1" x14ac:dyDescent="0.45">
      <c r="A4" s="63" t="s">
        <v>0</v>
      </c>
      <c r="B4" s="64" t="s">
        <v>34</v>
      </c>
      <c r="C4" s="64" t="s">
        <v>1</v>
      </c>
      <c r="D4" s="65" t="s">
        <v>2</v>
      </c>
      <c r="E4" s="66" t="s">
        <v>3</v>
      </c>
      <c r="F4" s="67" t="s">
        <v>36</v>
      </c>
      <c r="G4" s="67" t="s">
        <v>41</v>
      </c>
      <c r="H4" s="68" t="s">
        <v>53</v>
      </c>
      <c r="I4" s="67" t="s">
        <v>64</v>
      </c>
      <c r="J4" s="66" t="s">
        <v>43</v>
      </c>
      <c r="K4" s="69" t="s">
        <v>51</v>
      </c>
      <c r="L4" s="70" t="s">
        <v>57</v>
      </c>
      <c r="M4" s="71" t="s">
        <v>65</v>
      </c>
    </row>
    <row r="5" spans="1:21" ht="41.35" x14ac:dyDescent="0.4">
      <c r="A5" s="41" t="s">
        <v>8</v>
      </c>
      <c r="B5" s="9" t="s">
        <v>35</v>
      </c>
      <c r="C5" s="9" t="s">
        <v>60</v>
      </c>
      <c r="D5" s="9" t="s">
        <v>69</v>
      </c>
      <c r="E5" s="42" t="str">
        <f>IF(OR(AND(B5&lt;&gt;"Закрыт",C5="Высокое",D5="Высокая"),AND(B5&lt;&gt;"Закрыт",C5="Высокое",D5="Средняя"),AND(B5&lt;&gt;"Закрыт",C5="Среднее",D5="Высокая")),"Красный",IF(OR(AND(B5&lt;&gt;"Закрыт",C5="Высокое",D5="Низкая"),AND(B5&lt;&gt;"Закрыт",C5="Среднее",D5="Средняя"),AND(B5&lt;&gt;"Закрыт",C5="Низкое",D5="Высокая")),"Желтый",IF(OR(AND(B5&lt;&gt;"Закрыт",C5="Среднее",D5="Низкая"),AND(B5&lt;&gt;"Закрыт",C5="Низкое",D5="Низкая"),AND(B5&lt;&gt;"Закрыт",C5="Низкое",D5="Средняя")),"Зеленый",IF(B5="Закрыт","Закрыт",""))))</f>
        <v>Желтый</v>
      </c>
      <c r="F5" s="43" t="s">
        <v>70</v>
      </c>
      <c r="G5" s="43" t="s">
        <v>71</v>
      </c>
      <c r="H5" s="44" t="s">
        <v>72</v>
      </c>
      <c r="I5" s="6" t="s">
        <v>73</v>
      </c>
      <c r="J5" s="6" t="s">
        <v>74</v>
      </c>
      <c r="K5" s="9" t="s">
        <v>63</v>
      </c>
      <c r="L5" s="45" t="s">
        <v>75</v>
      </c>
      <c r="M5" s="7" t="s">
        <v>76</v>
      </c>
      <c r="O5" s="46" t="str">
        <f>IF(OR(AND(B5&lt;&gt;"Closed",C5="High",E5="High"), AND(B5&lt;&gt;"Closed",C5="High", E5="Medium"),AND(B5&lt;&gt;"Closed",C5="Medium",E5="High")),"Red",IF(OR(AND(B5&lt;&gt;"Closed",C5="High",E5="Low"), AND(B5&lt;&gt;"Closed",C5="Medium", E5="Medium"),AND(B5&lt;&gt;"Closed",C5="Low",E5="High")),"Yellow",IF(OR(AND(B5&lt;&gt;"Closed",C5="Medium",E5="Low"), AND(B5&lt;&gt;"Closed",C5="Low", E5="Low"),AND(B5&lt;&gt;"Closed",C5="Low",E5="Medium")),"Green","")))</f>
        <v/>
      </c>
    </row>
    <row r="6" spans="1:21" ht="72.349999999999994" x14ac:dyDescent="0.4">
      <c r="A6" s="41" t="s">
        <v>9</v>
      </c>
      <c r="B6" s="9" t="s">
        <v>35</v>
      </c>
      <c r="C6" s="9" t="s">
        <v>77</v>
      </c>
      <c r="D6" s="9" t="s">
        <v>61</v>
      </c>
      <c r="E6" s="42" t="str">
        <f>IF(OR(AND(B6&lt;&gt;"Закрыт",C6="Высокое",D6="Высокая"),AND(B6&lt;&gt;"Закрыт",C6="Высокое",D6="Средняя"),AND(B6&lt;&gt;"Закрыт",C6="Среднее",D6="Высокая")),"Красный",IF(OR(AND(B6&lt;&gt;"Закрыт",C6="Высокое",D6="Низкая"),AND(B6&lt;&gt;"Закрыт",C6="Среднее",D6="Средняя"),AND(B6&lt;&gt;"Закрыт",C6="Низкое",D6="Высокая")),"Желтый",IF(OR(AND(B6&lt;&gt;"Закрыт",C6="Среднее",D6="Низкая"),AND(B6&lt;&gt;"Закрыт",C6="Низкое",D6="Низкая"),AND(B6&lt;&gt;"Закрыт",C6="Низкое",D6="Средняя")),"Зеленый",IF(B6="Закрыт","Закрыт",""))))</f>
        <v>Красный</v>
      </c>
      <c r="F6" s="43" t="s">
        <v>78</v>
      </c>
      <c r="G6" s="43" t="s">
        <v>79</v>
      </c>
      <c r="H6" s="8" t="s">
        <v>80</v>
      </c>
      <c r="I6" s="10" t="s">
        <v>81</v>
      </c>
      <c r="J6" s="11" t="s">
        <v>82</v>
      </c>
      <c r="K6" s="9" t="s">
        <v>131</v>
      </c>
      <c r="L6" s="12" t="s">
        <v>75</v>
      </c>
      <c r="M6" s="13" t="s">
        <v>83</v>
      </c>
    </row>
    <row r="7" spans="1:21" ht="51.7" x14ac:dyDescent="0.4">
      <c r="A7" s="41" t="s">
        <v>10</v>
      </c>
      <c r="B7" s="15" t="s">
        <v>35</v>
      </c>
      <c r="C7" s="15" t="s">
        <v>77</v>
      </c>
      <c r="D7" s="15" t="s">
        <v>69</v>
      </c>
      <c r="E7" s="42" t="str">
        <f t="shared" ref="E7:E32" si="0">IF(OR(AND(B7&lt;&gt;"Закрыт",C7="Высокое",D7="Высокая"),AND(B7&lt;&gt;"Закрыт",C7="Высокое",D7="Средняя"),AND(B7&lt;&gt;"Закрыт",C7="Среднее",D7="Высокая")),"Красный",IF(OR(AND(B7&lt;&gt;"Закрыт",C7="Высокое",D7="Низкая"),AND(B7&lt;&gt;"Закрыт",C7="Среднее",D7="Средняя"),AND(B7&lt;&gt;"Закрыт",C7="Низкое",D7="Высокая")),"Желтый",IF(OR(AND(B7&lt;&gt;"Закрыт",C7="Среднее",D7="Низкая"),AND(B7&lt;&gt;"Закрыт",C7="Низкое",D7="Низкая"),AND(B7&lt;&gt;"Закрыт",C7="Низкое",D7="Средняя")),"Зеленый",IF(B7="Закрыт","Закрыт",""))))</f>
        <v>Красный</v>
      </c>
      <c r="F7" s="43" t="s">
        <v>84</v>
      </c>
      <c r="G7" s="11" t="s">
        <v>85</v>
      </c>
      <c r="H7" s="14" t="s">
        <v>86</v>
      </c>
      <c r="I7" s="10" t="s">
        <v>87</v>
      </c>
      <c r="J7" s="11" t="s">
        <v>88</v>
      </c>
      <c r="K7" s="15" t="s">
        <v>89</v>
      </c>
      <c r="L7" s="12" t="s">
        <v>75</v>
      </c>
      <c r="M7" s="13" t="s">
        <v>90</v>
      </c>
    </row>
    <row r="8" spans="1:21" ht="62" x14ac:dyDescent="0.4">
      <c r="A8" s="41" t="s">
        <v>11</v>
      </c>
      <c r="B8" s="15" t="s">
        <v>35</v>
      </c>
      <c r="C8" s="15" t="s">
        <v>60</v>
      </c>
      <c r="D8" s="15" t="s">
        <v>62</v>
      </c>
      <c r="E8" s="42" t="str">
        <f t="shared" si="0"/>
        <v>Зеленый</v>
      </c>
      <c r="F8" s="43" t="s">
        <v>132</v>
      </c>
      <c r="G8" s="11" t="s">
        <v>91</v>
      </c>
      <c r="H8" s="14" t="s">
        <v>72</v>
      </c>
      <c r="I8" s="10" t="s">
        <v>92</v>
      </c>
      <c r="J8" s="11" t="s">
        <v>93</v>
      </c>
      <c r="K8" s="15" t="s">
        <v>131</v>
      </c>
      <c r="L8" s="12" t="s">
        <v>75</v>
      </c>
      <c r="M8" s="72" t="s">
        <v>133</v>
      </c>
    </row>
    <row r="9" spans="1:21" ht="72.349999999999994" x14ac:dyDescent="0.4">
      <c r="A9" s="41" t="s">
        <v>12</v>
      </c>
      <c r="B9" s="15" t="s">
        <v>35</v>
      </c>
      <c r="C9" s="15" t="s">
        <v>60</v>
      </c>
      <c r="D9" s="15" t="s">
        <v>61</v>
      </c>
      <c r="E9" s="42" t="str">
        <f t="shared" si="0"/>
        <v>Красный</v>
      </c>
      <c r="F9" s="43" t="s">
        <v>94</v>
      </c>
      <c r="G9" s="47" t="s">
        <v>95</v>
      </c>
      <c r="H9" s="14" t="s">
        <v>96</v>
      </c>
      <c r="I9" s="10" t="s">
        <v>97</v>
      </c>
      <c r="J9" s="11" t="s">
        <v>98</v>
      </c>
      <c r="K9" s="15" t="s">
        <v>63</v>
      </c>
      <c r="L9" s="12" t="s">
        <v>75</v>
      </c>
      <c r="M9" s="48" t="s">
        <v>99</v>
      </c>
    </row>
    <row r="10" spans="1:21" ht="62" x14ac:dyDescent="0.4">
      <c r="A10" s="41" t="s">
        <v>13</v>
      </c>
      <c r="B10" s="15" t="s">
        <v>35</v>
      </c>
      <c r="C10" s="15" t="s">
        <v>77</v>
      </c>
      <c r="D10" s="15" t="s">
        <v>69</v>
      </c>
      <c r="E10" s="42" t="str">
        <f t="shared" si="0"/>
        <v>Красный</v>
      </c>
      <c r="F10" s="43" t="s">
        <v>100</v>
      </c>
      <c r="G10" s="47" t="s">
        <v>101</v>
      </c>
      <c r="H10" s="14" t="s">
        <v>102</v>
      </c>
      <c r="I10" s="10" t="s">
        <v>103</v>
      </c>
      <c r="J10" s="11" t="s">
        <v>104</v>
      </c>
      <c r="K10" s="15" t="s">
        <v>131</v>
      </c>
      <c r="L10" s="12" t="s">
        <v>75</v>
      </c>
      <c r="M10" s="49" t="s">
        <v>105</v>
      </c>
    </row>
    <row r="11" spans="1:21" ht="62" x14ac:dyDescent="0.4">
      <c r="A11" s="41" t="s">
        <v>14</v>
      </c>
      <c r="B11" s="15" t="s">
        <v>35</v>
      </c>
      <c r="C11" s="15" t="s">
        <v>60</v>
      </c>
      <c r="D11" s="15" t="s">
        <v>69</v>
      </c>
      <c r="E11" s="42" t="str">
        <f t="shared" si="0"/>
        <v>Желтый</v>
      </c>
      <c r="F11" s="43" t="s">
        <v>106</v>
      </c>
      <c r="G11" s="47" t="s">
        <v>107</v>
      </c>
      <c r="H11" s="14" t="s">
        <v>108</v>
      </c>
      <c r="I11" s="10" t="s">
        <v>109</v>
      </c>
      <c r="J11" s="11" t="s">
        <v>110</v>
      </c>
      <c r="K11" s="15" t="s">
        <v>131</v>
      </c>
      <c r="L11" s="12" t="s">
        <v>111</v>
      </c>
      <c r="M11" s="49" t="s">
        <v>134</v>
      </c>
    </row>
    <row r="12" spans="1:21" ht="72.349999999999994" x14ac:dyDescent="0.65">
      <c r="A12" s="41" t="s">
        <v>15</v>
      </c>
      <c r="B12" s="15" t="s">
        <v>35</v>
      </c>
      <c r="C12" s="15" t="s">
        <v>60</v>
      </c>
      <c r="D12" s="15" t="s">
        <v>62</v>
      </c>
      <c r="E12" s="42" t="str">
        <f t="shared" si="0"/>
        <v>Зеленый</v>
      </c>
      <c r="F12" s="43" t="s">
        <v>112</v>
      </c>
      <c r="G12" s="47" t="s">
        <v>113</v>
      </c>
      <c r="H12" s="16" t="s">
        <v>114</v>
      </c>
      <c r="I12" s="10" t="s">
        <v>115</v>
      </c>
      <c r="J12" s="11" t="s">
        <v>116</v>
      </c>
      <c r="K12" s="15" t="s">
        <v>117</v>
      </c>
      <c r="L12" s="12" t="s">
        <v>75</v>
      </c>
      <c r="M12" s="49" t="s">
        <v>118</v>
      </c>
    </row>
    <row r="13" spans="1:21" ht="62" x14ac:dyDescent="0.4">
      <c r="A13" s="41" t="s">
        <v>16</v>
      </c>
      <c r="B13" s="15" t="s">
        <v>35</v>
      </c>
      <c r="C13" s="15" t="s">
        <v>60</v>
      </c>
      <c r="D13" s="15" t="s">
        <v>61</v>
      </c>
      <c r="E13" s="42" t="str">
        <f t="shared" si="0"/>
        <v>Красный</v>
      </c>
      <c r="F13" s="43" t="s">
        <v>119</v>
      </c>
      <c r="G13" s="47" t="s">
        <v>120</v>
      </c>
      <c r="H13" s="14" t="s">
        <v>121</v>
      </c>
      <c r="I13" s="10" t="s">
        <v>122</v>
      </c>
      <c r="J13" s="11" t="s">
        <v>123</v>
      </c>
      <c r="K13" s="15" t="s">
        <v>63</v>
      </c>
      <c r="L13" s="12" t="s">
        <v>111</v>
      </c>
      <c r="M13" s="49" t="s">
        <v>124</v>
      </c>
    </row>
    <row r="14" spans="1:21" ht="72.349999999999994" x14ac:dyDescent="0.4">
      <c r="A14" s="41" t="s">
        <v>17</v>
      </c>
      <c r="B14" s="15" t="s">
        <v>35</v>
      </c>
      <c r="C14" s="15" t="s">
        <v>77</v>
      </c>
      <c r="D14" s="15" t="s">
        <v>62</v>
      </c>
      <c r="E14" s="42" t="str">
        <f t="shared" si="0"/>
        <v>Желтый</v>
      </c>
      <c r="F14" s="43" t="s">
        <v>125</v>
      </c>
      <c r="G14" s="47" t="s">
        <v>126</v>
      </c>
      <c r="H14" s="14" t="s">
        <v>127</v>
      </c>
      <c r="I14" s="10" t="s">
        <v>128</v>
      </c>
      <c r="J14" s="11" t="s">
        <v>129</v>
      </c>
      <c r="K14" s="15" t="s">
        <v>131</v>
      </c>
      <c r="L14" s="12" t="s">
        <v>111</v>
      </c>
      <c r="M14" s="49" t="s">
        <v>130</v>
      </c>
    </row>
    <row r="15" spans="1:21" x14ac:dyDescent="0.4">
      <c r="A15" s="41" t="s">
        <v>18</v>
      </c>
      <c r="B15" s="15"/>
      <c r="C15" s="15"/>
      <c r="D15" s="15"/>
      <c r="E15" s="42" t="str">
        <f t="shared" si="0"/>
        <v/>
      </c>
      <c r="F15" s="50"/>
      <c r="G15" s="47"/>
      <c r="H15" s="14"/>
      <c r="I15" s="10"/>
      <c r="J15" s="11"/>
      <c r="K15" s="15"/>
      <c r="L15" s="12"/>
      <c r="M15" s="49"/>
    </row>
    <row r="16" spans="1:21" x14ac:dyDescent="0.4">
      <c r="A16" s="41" t="s">
        <v>19</v>
      </c>
      <c r="B16" s="15"/>
      <c r="C16" s="15"/>
      <c r="D16" s="15"/>
      <c r="E16" s="42" t="str">
        <f t="shared" si="0"/>
        <v/>
      </c>
      <c r="F16" s="50"/>
      <c r="G16" s="47"/>
      <c r="H16" s="14"/>
      <c r="I16" s="10"/>
      <c r="J16" s="11"/>
      <c r="K16" s="15"/>
      <c r="L16" s="12"/>
      <c r="M16" s="49"/>
    </row>
    <row r="17" spans="1:13" x14ac:dyDescent="0.4">
      <c r="A17" s="41" t="s">
        <v>20</v>
      </c>
      <c r="B17" s="15"/>
      <c r="C17" s="15"/>
      <c r="D17" s="15"/>
      <c r="E17" s="42" t="str">
        <f t="shared" si="0"/>
        <v/>
      </c>
      <c r="F17" s="50"/>
      <c r="G17" s="47"/>
      <c r="H17" s="14"/>
      <c r="I17" s="10"/>
      <c r="J17" s="11"/>
      <c r="K17" s="15"/>
      <c r="L17" s="12"/>
      <c r="M17" s="49"/>
    </row>
    <row r="18" spans="1:13" x14ac:dyDescent="0.4">
      <c r="A18" s="41" t="s">
        <v>21</v>
      </c>
      <c r="B18" s="15"/>
      <c r="C18" s="15"/>
      <c r="D18" s="15"/>
      <c r="E18" s="42" t="str">
        <f t="shared" si="0"/>
        <v/>
      </c>
      <c r="F18" s="50"/>
      <c r="G18" s="47"/>
      <c r="H18" s="14"/>
      <c r="I18" s="10"/>
      <c r="J18" s="11"/>
      <c r="K18" s="15"/>
      <c r="L18" s="12"/>
      <c r="M18" s="49"/>
    </row>
    <row r="19" spans="1:13" x14ac:dyDescent="0.4">
      <c r="A19" s="41" t="s">
        <v>22</v>
      </c>
      <c r="B19" s="15"/>
      <c r="C19" s="15"/>
      <c r="D19" s="15"/>
      <c r="E19" s="42" t="str">
        <f t="shared" si="0"/>
        <v/>
      </c>
      <c r="F19" s="50"/>
      <c r="G19" s="47"/>
      <c r="H19" s="14"/>
      <c r="I19" s="10"/>
      <c r="J19" s="11"/>
      <c r="K19" s="15"/>
      <c r="L19" s="12"/>
      <c r="M19" s="49"/>
    </row>
    <row r="20" spans="1:13" x14ac:dyDescent="0.4">
      <c r="A20" s="41" t="s">
        <v>23</v>
      </c>
      <c r="B20" s="15"/>
      <c r="C20" s="15"/>
      <c r="D20" s="15"/>
      <c r="E20" s="42" t="str">
        <f t="shared" si="0"/>
        <v/>
      </c>
      <c r="F20" s="50"/>
      <c r="G20" s="47"/>
      <c r="H20" s="14"/>
      <c r="I20" s="10"/>
      <c r="J20" s="11"/>
      <c r="K20" s="15"/>
      <c r="L20" s="12"/>
      <c r="M20" s="49"/>
    </row>
    <row r="21" spans="1:13" x14ac:dyDescent="0.4">
      <c r="A21" s="41" t="s">
        <v>24</v>
      </c>
      <c r="B21" s="15"/>
      <c r="C21" s="15"/>
      <c r="D21" s="15"/>
      <c r="E21" s="42" t="str">
        <f t="shared" si="0"/>
        <v/>
      </c>
      <c r="F21" s="50"/>
      <c r="G21" s="47"/>
      <c r="H21" s="14"/>
      <c r="I21" s="10"/>
      <c r="J21" s="11"/>
      <c r="K21" s="15"/>
      <c r="L21" s="12"/>
      <c r="M21" s="49"/>
    </row>
    <row r="22" spans="1:13" x14ac:dyDescent="0.4">
      <c r="A22" s="41" t="s">
        <v>25</v>
      </c>
      <c r="B22" s="15"/>
      <c r="C22" s="15"/>
      <c r="D22" s="15"/>
      <c r="E22" s="42" t="str">
        <f t="shared" si="0"/>
        <v/>
      </c>
      <c r="F22" s="50"/>
      <c r="G22" s="47"/>
      <c r="H22" s="14"/>
      <c r="I22" s="10"/>
      <c r="J22" s="11"/>
      <c r="K22" s="15"/>
      <c r="L22" s="12"/>
      <c r="M22" s="49"/>
    </row>
    <row r="23" spans="1:13" x14ac:dyDescent="0.4">
      <c r="A23" s="41" t="s">
        <v>26</v>
      </c>
      <c r="B23" s="15"/>
      <c r="C23" s="15"/>
      <c r="D23" s="15"/>
      <c r="E23" s="42" t="str">
        <f t="shared" si="0"/>
        <v/>
      </c>
      <c r="F23" s="50"/>
      <c r="G23" s="47"/>
      <c r="H23" s="14"/>
      <c r="I23" s="10"/>
      <c r="J23" s="11"/>
      <c r="K23" s="15"/>
      <c r="L23" s="12"/>
      <c r="M23" s="49"/>
    </row>
    <row r="24" spans="1:13" x14ac:dyDescent="0.4">
      <c r="A24" s="41" t="s">
        <v>27</v>
      </c>
      <c r="B24" s="15"/>
      <c r="C24" s="15"/>
      <c r="D24" s="15"/>
      <c r="E24" s="42" t="str">
        <f t="shared" si="0"/>
        <v/>
      </c>
      <c r="F24" s="50"/>
      <c r="G24" s="47"/>
      <c r="H24" s="14"/>
      <c r="I24" s="10"/>
      <c r="J24" s="11"/>
      <c r="K24" s="15"/>
      <c r="L24" s="12"/>
      <c r="M24" s="49"/>
    </row>
    <row r="25" spans="1:13" x14ac:dyDescent="0.4">
      <c r="A25" s="41" t="s">
        <v>28</v>
      </c>
      <c r="B25" s="15"/>
      <c r="C25" s="15"/>
      <c r="D25" s="15"/>
      <c r="E25" s="42" t="str">
        <f t="shared" si="0"/>
        <v/>
      </c>
      <c r="F25" s="50"/>
      <c r="G25" s="47"/>
      <c r="H25" s="14"/>
      <c r="I25" s="10"/>
      <c r="J25" s="11"/>
      <c r="K25" s="15"/>
      <c r="L25" s="51"/>
      <c r="M25" s="49"/>
    </row>
    <row r="26" spans="1:13" x14ac:dyDescent="0.4">
      <c r="A26" s="41" t="s">
        <v>29</v>
      </c>
      <c r="B26" s="15"/>
      <c r="C26" s="15"/>
      <c r="D26" s="15"/>
      <c r="E26" s="42" t="str">
        <f t="shared" si="0"/>
        <v/>
      </c>
      <c r="F26" s="50"/>
      <c r="G26" s="47"/>
      <c r="H26" s="14"/>
      <c r="I26" s="10"/>
      <c r="J26" s="11"/>
      <c r="K26" s="15"/>
      <c r="L26" s="51"/>
      <c r="M26" s="49"/>
    </row>
    <row r="27" spans="1:13" x14ac:dyDescent="0.4">
      <c r="A27" s="41" t="s">
        <v>30</v>
      </c>
      <c r="B27" s="15"/>
      <c r="C27" s="15"/>
      <c r="D27" s="15"/>
      <c r="E27" s="42" t="str">
        <f t="shared" si="0"/>
        <v/>
      </c>
      <c r="F27" s="50"/>
      <c r="G27" s="47"/>
      <c r="H27" s="14"/>
      <c r="I27" s="10"/>
      <c r="J27" s="11"/>
      <c r="K27" s="15"/>
      <c r="L27" s="51"/>
      <c r="M27" s="49"/>
    </row>
    <row r="28" spans="1:13" x14ac:dyDescent="0.4">
      <c r="A28" s="41" t="s">
        <v>31</v>
      </c>
      <c r="B28" s="15"/>
      <c r="C28" s="15"/>
      <c r="D28" s="15"/>
      <c r="E28" s="42" t="str">
        <f t="shared" si="0"/>
        <v/>
      </c>
      <c r="F28" s="50"/>
      <c r="G28" s="47"/>
      <c r="H28" s="14"/>
      <c r="I28" s="10"/>
      <c r="J28" s="11"/>
      <c r="K28" s="15"/>
      <c r="L28" s="51"/>
      <c r="M28" s="49"/>
    </row>
    <row r="29" spans="1:13" x14ac:dyDescent="0.4">
      <c r="A29" s="41" t="s">
        <v>32</v>
      </c>
      <c r="B29" s="15"/>
      <c r="C29" s="15"/>
      <c r="D29" s="15"/>
      <c r="E29" s="42" t="str">
        <f t="shared" si="0"/>
        <v/>
      </c>
      <c r="F29" s="50"/>
      <c r="G29" s="47"/>
      <c r="H29" s="14"/>
      <c r="I29" s="10"/>
      <c r="J29" s="11"/>
      <c r="K29" s="15"/>
      <c r="L29" s="51"/>
      <c r="M29" s="49"/>
    </row>
    <row r="30" spans="1:13" ht="13" thickBot="1" x14ac:dyDescent="0.45">
      <c r="A30" s="52" t="s">
        <v>33</v>
      </c>
      <c r="B30" s="53"/>
      <c r="C30" s="53"/>
      <c r="D30" s="53"/>
      <c r="E30" s="42" t="str">
        <f t="shared" si="0"/>
        <v/>
      </c>
      <c r="F30" s="54"/>
      <c r="G30" s="55"/>
      <c r="H30" s="56"/>
      <c r="I30" s="73"/>
      <c r="J30" s="74"/>
      <c r="K30" s="53"/>
      <c r="L30" s="57"/>
      <c r="M30" s="58"/>
    </row>
    <row r="31" spans="1:13" x14ac:dyDescent="0.4">
      <c r="E31" s="42" t="str">
        <f t="shared" si="0"/>
        <v/>
      </c>
    </row>
    <row r="32" spans="1:13" x14ac:dyDescent="0.4">
      <c r="E32" s="42" t="str">
        <f t="shared" si="0"/>
        <v/>
      </c>
    </row>
  </sheetData>
  <autoFilter ref="B4:D4" xr:uid="{00000000-0009-0000-0000-000001000000}"/>
  <phoneticPr fontId="1" type="noConversion"/>
  <conditionalFormatting sqref="C33:E65536 B4:C4 C1:E1 C31:D32">
    <cfRule type="cellIs" dxfId="13" priority="18" stopIfTrue="1" operator="equal">
      <formula>"Critical"</formula>
    </cfRule>
    <cfRule type="cellIs" dxfId="12" priority="19" stopIfTrue="1" operator="equal">
      <formula>"High"</formula>
    </cfRule>
    <cfRule type="cellIs" dxfId="11" priority="20" stopIfTrue="1" operator="equal">
      <formula>"Medium"</formula>
    </cfRule>
  </conditionalFormatting>
  <conditionalFormatting sqref="L25:L30">
    <cfRule type="cellIs" dxfId="10" priority="21" stopIfTrue="1" operator="equal">
      <formula>"High"</formula>
    </cfRule>
    <cfRule type="cellIs" dxfId="9" priority="22" stopIfTrue="1" operator="equal">
      <formula>"Medium"</formula>
    </cfRule>
  </conditionalFormatting>
  <conditionalFormatting sqref="E5:E32">
    <cfRule type="containsText" dxfId="8" priority="1" stopIfTrue="1" operator="containsText" text="Зеленый">
      <formula>NOT(ISERROR(SEARCH("Зеленый",E5)))</formula>
    </cfRule>
    <cfRule type="containsText" dxfId="7" priority="2" stopIfTrue="1" operator="containsText" text="Желтый">
      <formula>NOT(ISERROR(SEARCH("Желтый",E5)))</formula>
    </cfRule>
    <cfRule type="containsText" dxfId="6" priority="3" stopIfTrue="1" operator="containsText" text="Красный">
      <formula>NOT(ISERROR(SEARCH("Красный",E5)))</formula>
    </cfRule>
  </conditionalFormatting>
  <conditionalFormatting sqref="C5:C30">
    <cfRule type="containsText" dxfId="5" priority="4" stopIfTrue="1" operator="containsText" text="Среднее">
      <formula>NOT(ISERROR(SEARCH("Среднее",C5)))</formula>
    </cfRule>
    <cfRule type="containsText" dxfId="4" priority="8" stopIfTrue="1" operator="containsText" text="Высокое">
      <formula>NOT(ISERROR(SEARCH("Высокое",C5)))</formula>
    </cfRule>
    <cfRule type="containsText" dxfId="3" priority="15" stopIfTrue="1" operator="containsText" text="Низкое">
      <formula>NOT(ISERROR(SEARCH("Низкое",C5)))</formula>
    </cfRule>
  </conditionalFormatting>
  <conditionalFormatting sqref="D5:D30">
    <cfRule type="containsText" dxfId="2" priority="5" stopIfTrue="1" operator="containsText" text="Средняя">
      <formula>NOT(ISERROR(SEARCH("Средняя",D5)))</formula>
    </cfRule>
    <cfRule type="containsText" dxfId="1" priority="6" stopIfTrue="1" operator="containsText" text="Высокая">
      <formula>NOT(ISERROR(SEARCH("Высокая",D5)))</formula>
    </cfRule>
    <cfRule type="containsText" dxfId="0" priority="11" stopIfTrue="1" operator="containsText" text="Низкая">
      <formula>NOT(ISERROR(SEARCH("Низкая",D5)))</formula>
    </cfRule>
  </conditionalFormatting>
  <dataValidations disablePrompts="1" count="5">
    <dataValidation type="list" allowBlank="1" showInputMessage="1" showErrorMessage="1" sqref="L25:L30" xr:uid="{00000000-0002-0000-0100-000000000000}">
      <formula1>"High,Medium,Low"</formula1>
    </dataValidation>
    <dataValidation type="list" allowBlank="1" showInputMessage="1" showErrorMessage="1" sqref="K5:K30" xr:uid="{00000000-0002-0000-0100-000001000000}">
      <formula1>"Использование,Предотвращени,Смягчение,Усиление,Перенос,Разделение,Принятие"</formula1>
    </dataValidation>
    <dataValidation type="list" allowBlank="1" showInputMessage="1" showErrorMessage="1" sqref="C5:C30" xr:uid="{00000000-0002-0000-0100-000002000000}">
      <formula1>"Высокое,Среднее,Низкое"</formula1>
    </dataValidation>
    <dataValidation type="list" allowBlank="1" showInputMessage="1" showErrorMessage="1" sqref="D5:D30" xr:uid="{00000000-0002-0000-0100-000003000000}">
      <formula1>"Высокая,Средняя,Низкая"</formula1>
    </dataValidation>
    <dataValidation type="list" allowBlank="1" showInputMessage="1" showErrorMessage="1" sqref="B5:B30" xr:uid="{00000000-0002-0000-0100-000004000000}">
      <formula1>"Открыт,Закрыт"</formula1>
    </dataValidation>
  </dataValidations>
  <pageMargins left="0.25" right="0.25" top="0.75" bottom="0.75" header="0.3" footer="0.3"/>
  <pageSetup orientation="landscape" r:id="rId1"/>
  <headerFooter alignWithMargins="0">
    <oddFooter>&amp;L&amp;8Дата &amp;D&amp;C&amp;8Реестр рисков&amp;R&amp;8Страница &amp;P/&amp;N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Инструкции</vt:lpstr>
      <vt:lpstr>Реестр рисков</vt:lpstr>
      <vt:lpstr>'Реестр рисков'!Заголовки_для_печати</vt:lpstr>
      <vt:lpstr>'Реестр рисков'!Область_печати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Risk register</dc:title>
  <dc:subject/>
  <dc:creator/>
  <cp:keywords/>
  <dc:description>Шаблон реестра рисков</dc:description>
  <cp:lastModifiedBy/>
  <dcterms:created xsi:type="dcterms:W3CDTF">2010-08-20T19:12:00Z</dcterms:created>
  <dcterms:modified xsi:type="dcterms:W3CDTF">2025-12-14T18:26:49Z</dcterms:modified>
  <cp:category/>
</cp:coreProperties>
</file>