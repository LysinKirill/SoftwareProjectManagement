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filterPrivacy="1" defaultThemeVersion="124226"/>
  <xr:revisionPtr revIDLastSave="0" documentId="8_{71DC933D-9792-904B-805B-9877FBDF03BE}" xr6:coauthVersionLast="47" xr6:coauthVersionMax="47" xr10:uidLastSave="{00000000-0000-0000-0000-000000000000}"/>
  <bookViews>
    <workbookView xWindow="0" yWindow="500" windowWidth="28800" windowHeight="17500"/>
  </bookViews>
  <sheets>
    <sheet name="Инструкции" sheetId="3" r:id="rId1"/>
    <sheet name="Реестр рисков" sheetId="2" r:id="rId2"/>
  </sheets>
  <externalReferences>
    <externalReference r:id="rId3"/>
  </externalReferences>
  <definedNames>
    <definedName name="_xlnm._FilterDatabase" localSheetId="0" hidden="1">Инструкции!$A$24:$B$34</definedName>
    <definedName name="_xlnm._FilterDatabase" localSheetId="1" hidden="1">'Реестр рисков'!$B$4:$D$4</definedName>
    <definedName name="Высокий">#REF!</definedName>
    <definedName name="_xlnm.Print_Titles" localSheetId="1">'Реестр рисков'!$1:$4</definedName>
    <definedName name="_xlnm.Print_Area" localSheetId="1">'Реестр рисков'!$A$1:$M$30</definedName>
    <definedName name="ТипРиска">#REF!</definedName>
    <definedName name="as">[1]DropDown_Elements!$A$2:$A$30</definedName>
    <definedName name="OLE_LINK1" localSheetId="1">'Реестр рисков'!#REF!</definedName>
    <definedName name="Risk_Area">#REF!</definedName>
    <definedName name="RiskType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O5" i="2"/>
</calcChain>
</file>

<file path=xl/comments1.xml><?xml version="1.0" encoding="utf-8"?>
<comments xmlns="http://schemas.openxmlformats.org/spreadsheetml/2006/main">
  <authors>
    <author>Автор</author>
  </authors>
  <commentList>
    <comment ref="A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Уникальный идентификатор требования (st + инкремент)</t>
        </r>
      </text>
    </comment>
    <comment ref="B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"Открыт" для рисков, которые актуальны; "закрыт" для рисков, более не актуальных на преокте (реализовавшихся, ставших невозможными и т.п.)</t>
        </r>
      </text>
    </comment>
    <comment ref="C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Элемент качественной оценки риска ("высокое / среднее / низкое")</t>
        </r>
      </text>
    </comment>
    <comment ref="D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Элемент качественной оценки риска ("высокая / средняя / низкая")</t>
        </r>
      </text>
    </comment>
    <comment ref="E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Интегральная качественная оценка риска ("красный" - для самых опасных и приоритетных рисков, "желтый" - для умеренных", "зеленый" - для наименее существенных</t>
        </r>
      </text>
    </comment>
    <comment ref="F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Тезисно - в чем суть (причина, содержание) риска</t>
        </r>
      </text>
    </comment>
    <comment ref="G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Тезисно - в чем суть влияния риска на проект</t>
        </r>
      </text>
    </comment>
    <comment ref="H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Общее название группы, к которой можно отнести данный риск</t>
        </r>
      </text>
    </comment>
    <comment ref="K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Для позитивных рисков: "использование / усиление / разделение"; для негативных рисков: "предотвращение / смягчение / перенос"; для обоих видов риска: "принятие"</t>
        </r>
      </text>
    </comment>
    <comment ref="L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Лицо ответсвенное за мониторинг триггера и запуск contingency плана</t>
        </r>
      </text>
    </comment>
    <comment ref="M4" authorId="0" shape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Что будем делать, если риск реализовался (не заполняется, если тип стратегии обработки риска - "принятие")</t>
        </r>
      </text>
    </comment>
  </commentList>
</comments>
</file>

<file path=xl/sharedStrings.xml><?xml version="1.0" encoding="utf-8"?>
<sst xmlns="http://schemas.openxmlformats.org/spreadsheetml/2006/main" count="95" uniqueCount="79">
  <si>
    <t>ID</t>
  </si>
  <si>
    <t>Влияние риска</t>
  </si>
  <si>
    <t>Вероятность риска</t>
  </si>
  <si>
    <t>Уровень риска</t>
  </si>
  <si>
    <t>Проект</t>
  </si>
  <si>
    <t>PM</t>
  </si>
  <si>
    <t>&lt;обязательное&gt;</t>
  </si>
  <si>
    <t>Реестр рисков</t>
  </si>
  <si>
    <t>rs-1</t>
  </si>
  <si>
    <t>rs-2</t>
  </si>
  <si>
    <t>rs-3</t>
  </si>
  <si>
    <t>rs-4</t>
  </si>
  <si>
    <t>rs-5</t>
  </si>
  <si>
    <t>rs-6</t>
  </si>
  <si>
    <t>rs-7</t>
  </si>
  <si>
    <t>rs-8</t>
  </si>
  <si>
    <t>rs-9</t>
  </si>
  <si>
    <t>rs-10</t>
  </si>
  <si>
    <t>rs-11</t>
  </si>
  <si>
    <t>rs-12</t>
  </si>
  <si>
    <t>rs-13</t>
  </si>
  <si>
    <t>rs-14</t>
  </si>
  <si>
    <t>rs-15</t>
  </si>
  <si>
    <t>rs-16</t>
  </si>
  <si>
    <t>rs-17</t>
  </si>
  <si>
    <t>rs-18</t>
  </si>
  <si>
    <t>rs-19</t>
  </si>
  <si>
    <t>rs-20</t>
  </si>
  <si>
    <t>rs-21</t>
  </si>
  <si>
    <t>rs-22</t>
  </si>
  <si>
    <t>rs-23</t>
  </si>
  <si>
    <t>rs-24</t>
  </si>
  <si>
    <t>rs-25</t>
  </si>
  <si>
    <t>rs-26</t>
  </si>
  <si>
    <t>Статус
риска</t>
  </si>
  <si>
    <t>Открыт</t>
  </si>
  <si>
    <t>Описание риска</t>
  </si>
  <si>
    <t>NB: строки "проект" и "PM" обязательны для заполнения (соотвтетственно - вносится название проекта и фамилия и имя менеджера проекта)</t>
  </si>
  <si>
    <t>Поле</t>
  </si>
  <si>
    <t>Алгоритм заполнения</t>
  </si>
  <si>
    <t>Уникальный идентификатор требования (st + инкремент)</t>
  </si>
  <si>
    <t>Влияние на проект</t>
  </si>
  <si>
    <t>Статус риска</t>
  </si>
  <si>
    <t>Триггеры</t>
  </si>
  <si>
    <t>"Открыт" для рисков, которые актуальны; "закрыт" для рисков, более не актуальных на преокте (реализовавшихся, ставших невозможными и т.п.)</t>
  </si>
  <si>
    <t>Элемент качественной оценки риска ("высокое / среднее / низкое")</t>
  </si>
  <si>
    <t>Элемент качественной оценки риска ("высокая / средняя / низкая")</t>
  </si>
  <si>
    <t>Интегральная качественная оценка риска ("красный" - для самых опасных и приоритетных рисков, "желтый" - для умеренных", "зеленый" - для наименее существенных</t>
  </si>
  <si>
    <t>Тезисно - в чем суть (причина, содержание) риска</t>
  </si>
  <si>
    <t>Для позитивных рисков: "использование / усиление / разделение"; для негативных рисков: "предотвращение / смягчение / перенос"; для обоих видов риска: "принятие"</t>
  </si>
  <si>
    <t>Что будем делать для того, чтобы реализовать стратегию обработки риска</t>
  </si>
  <si>
    <t>Тип стратегии обработки риска</t>
  </si>
  <si>
    <t>Что будем делать, если риск реализовался (не заполняется, если тип стратегии обработки риска - "принятие")</t>
  </si>
  <si>
    <t>Область
риска</t>
  </si>
  <si>
    <t>Область риска</t>
  </si>
  <si>
    <t>Общее название группы, к которой можно отнести данный риск</t>
  </si>
  <si>
    <t>Тезисно - в чем суть влияния риска на проект</t>
  </si>
  <si>
    <t>Хозяин
риска</t>
  </si>
  <si>
    <t>Хозяин риска</t>
  </si>
  <si>
    <t>Лицо ответсвенное за мониторинг триггера и запуск contingency плана</t>
  </si>
  <si>
    <t>Среднее</t>
  </si>
  <si>
    <t>Высокая</t>
  </si>
  <si>
    <t>Низкая</t>
  </si>
  <si>
    <t>Разработчик Василий Иванов может не достаточно хоршо документировать код (как это было на предыдущем проекте).</t>
  </si>
  <si>
    <t>Команда</t>
  </si>
  <si>
    <t>Члены команды, работающие с модулями созданными Василием будут затрачивать болоьше усилий и времени</t>
  </si>
  <si>
    <t>Поступает жалоба от разработчиков на плохую документированность кода Василия Иванова</t>
  </si>
  <si>
    <t>Смягчение</t>
  </si>
  <si>
    <t>Начальник отдела разработки проведет инструктаж и импровизированный тренинг (0,5 - 1 день) до запуска проекта для Василия Иванова</t>
  </si>
  <si>
    <t>План А
(contingency план)</t>
  </si>
  <si>
    <t>План Б
(management plan)</t>
  </si>
  <si>
    <t>st-14 &lt;(Начальник отдела)&gt;</t>
  </si>
  <si>
    <t>Даем в пару Василию Иванову более опытного члена команды (для проверки документирования кода)</t>
  </si>
  <si>
    <t>Возможен переезд филиала нашей компании, что приведет к бездействию серверов в течение 2 дней</t>
  </si>
  <si>
    <t>Тестирование некоторых модулей станет невозможным в течение 2 дней</t>
  </si>
  <si>
    <t>Инфраструктура</t>
  </si>
  <si>
    <t>План А (contingency plan)</t>
  </si>
  <si>
    <t>План Б (fallback plan)</t>
  </si>
  <si>
    <t>Условия для запуска действий по плану Б (одновременно - признак того, что риск реализовался)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</si>
</sst>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5" formatCode="mm/dd/yy;@"/>
  </numFmts>
  <fonts count="16" x14ac:knownFonts="1">
    <font>
      <sz val="10"/>
      <name val="Arial"/>
    </font>
    <font>
      <sz val="8"/>
      <name val="Arial"/>
      <family val="2"/>
      <charset val="204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sz val="8"/>
      <color indexed="9"/>
      <name val="Arial"/>
      <family val="2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i/>
      <sz val="8"/>
      <name val="Arial"/>
      <family val="2"/>
      <charset val="204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/>
    <xf numFmtId="49" fontId="2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7" fillId="2" borderId="3" xfId="0" applyNumberFormat="1" applyFont="1" applyFill="1" applyBorder="1" applyAlignment="1">
      <alignment vertical="center"/>
    </xf>
    <xf numFmtId="49" fontId="7" fillId="2" borderId="3" xfId="0" applyNumberFormat="1" applyFont="1" applyFill="1" applyBorder="1" applyAlignment="1">
      <alignment vertical="center" wrapText="1"/>
    </xf>
    <xf numFmtId="49" fontId="7" fillId="2" borderId="4" xfId="0" applyNumberFormat="1" applyFont="1" applyFill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0" fontId="3" fillId="0" borderId="6" xfId="0" applyNumberFormat="1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3" fillId="0" borderId="9" xfId="0" applyNumberFormat="1" applyFont="1" applyBorder="1" applyAlignment="1">
      <alignment vertical="top" wrapText="1"/>
    </xf>
    <xf numFmtId="0" fontId="3" fillId="0" borderId="7" xfId="0" applyNumberFormat="1" applyFont="1" applyBorder="1" applyAlignment="1">
      <alignment vertical="top" wrapText="1"/>
    </xf>
    <xf numFmtId="0" fontId="3" fillId="0" borderId="8" xfId="0" applyNumberFormat="1" applyFont="1" applyBorder="1" applyAlignment="1">
      <alignment vertical="top" wrapText="1"/>
    </xf>
    <xf numFmtId="0" fontId="3" fillId="0" borderId="10" xfId="0" applyNumberFormat="1" applyFont="1" applyBorder="1" applyAlignment="1">
      <alignment vertical="top" wrapText="1"/>
    </xf>
    <xf numFmtId="0" fontId="3" fillId="0" borderId="11" xfId="0" applyNumberFormat="1" applyFont="1" applyBorder="1" applyAlignment="1">
      <alignment vertical="top" wrapText="1"/>
    </xf>
    <xf numFmtId="49" fontId="3" fillId="0" borderId="0" xfId="0" applyNumberFormat="1" applyFont="1" applyBorder="1" applyAlignment="1">
      <alignment wrapText="1"/>
    </xf>
    <xf numFmtId="185" fontId="4" fillId="4" borderId="12" xfId="0" applyNumberFormat="1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/>
    </xf>
    <xf numFmtId="49" fontId="4" fillId="4" borderId="12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4" fillId="0" borderId="6" xfId="0" applyFont="1" applyBorder="1" applyAlignment="1">
      <alignment vertical="top" wrapText="1"/>
    </xf>
    <xf numFmtId="0" fontId="3" fillId="0" borderId="14" xfId="0" applyNumberFormat="1" applyFont="1" applyBorder="1" applyAlignment="1">
      <alignment horizontal="center" vertical="top"/>
    </xf>
    <xf numFmtId="49" fontId="4" fillId="4" borderId="15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4" fillId="0" borderId="16" xfId="0" applyFont="1" applyBorder="1" applyAlignment="1">
      <alignment vertical="top" wrapText="1"/>
    </xf>
    <xf numFmtId="49" fontId="4" fillId="4" borderId="17" xfId="0" applyNumberFormat="1" applyFont="1" applyFill="1" applyBorder="1" applyAlignment="1">
      <alignment horizontal="center" vertical="center" wrapText="1"/>
    </xf>
    <xf numFmtId="185" fontId="4" fillId="4" borderId="17" xfId="0" applyNumberFormat="1" applyFont="1" applyFill="1" applyBorder="1" applyAlignment="1">
      <alignment horizontal="center" vertical="center" wrapText="1"/>
    </xf>
    <xf numFmtId="0" fontId="0" fillId="0" borderId="4" xfId="0" applyBorder="1"/>
    <xf numFmtId="49" fontId="3" fillId="0" borderId="1" xfId="0" applyNumberFormat="1" applyFont="1" applyBorder="1" applyAlignment="1">
      <alignment vertical="center"/>
    </xf>
    <xf numFmtId="49" fontId="2" fillId="0" borderId="18" xfId="0" applyNumberFormat="1" applyFont="1" applyBorder="1" applyAlignment="1">
      <alignment horizontal="left" vertical="top"/>
    </xf>
    <xf numFmtId="49" fontId="2" fillId="0" borderId="19" xfId="0" applyNumberFormat="1" applyFont="1" applyBorder="1" applyAlignment="1">
      <alignment horizontal="left" vertical="top"/>
    </xf>
    <xf numFmtId="0" fontId="0" fillId="0" borderId="10" xfId="0" applyBorder="1"/>
    <xf numFmtId="49" fontId="3" fillId="0" borderId="20" xfId="0" applyNumberFormat="1" applyFont="1" applyBorder="1" applyAlignment="1">
      <alignment vertical="center" wrapText="1"/>
    </xf>
    <xf numFmtId="49" fontId="3" fillId="0" borderId="21" xfId="0" applyNumberFormat="1" applyFont="1" applyBorder="1" applyAlignment="1">
      <alignment vertical="center" wrapText="1"/>
    </xf>
    <xf numFmtId="0" fontId="4" fillId="0" borderId="18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0" fillId="5" borderId="9" xfId="0" applyFont="1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4" fillId="4" borderId="2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1" xfId="0" applyBorder="1"/>
    <xf numFmtId="0" fontId="3" fillId="0" borderId="23" xfId="0" applyNumberFormat="1" applyFont="1" applyBorder="1" applyAlignment="1">
      <alignment horizontal="center" vertical="top"/>
    </xf>
    <xf numFmtId="0" fontId="3" fillId="0" borderId="16" xfId="0" applyNumberFormat="1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49" fontId="4" fillId="4" borderId="24" xfId="0" applyNumberFormat="1" applyFont="1" applyFill="1" applyBorder="1" applyAlignment="1">
      <alignment horizontal="center" vertical="center" wrapText="1"/>
    </xf>
    <xf numFmtId="0" fontId="4" fillId="0" borderId="25" xfId="0" applyFont="1" applyBorder="1" applyAlignment="1">
      <alignment vertical="top" wrapText="1"/>
    </xf>
    <xf numFmtId="49" fontId="3" fillId="0" borderId="14" xfId="0" applyNumberFormat="1" applyFont="1" applyBorder="1" applyAlignment="1">
      <alignment horizontal="center" vertical="top"/>
    </xf>
    <xf numFmtId="49" fontId="3" fillId="0" borderId="25" xfId="0" applyNumberFormat="1" applyFont="1" applyBorder="1" applyAlignment="1">
      <alignment horizontal="center" vertical="top"/>
    </xf>
    <xf numFmtId="49" fontId="3" fillId="0" borderId="23" xfId="0" applyNumberFormat="1" applyFont="1" applyBorder="1" applyAlignment="1">
      <alignment horizontal="center" vertical="top"/>
    </xf>
    <xf numFmtId="0" fontId="0" fillId="0" borderId="9" xfId="0" applyBorder="1" applyAlignment="1">
      <alignment vertical="top"/>
    </xf>
    <xf numFmtId="0" fontId="11" fillId="0" borderId="8" xfId="0" applyFont="1" applyBorder="1" applyAlignment="1">
      <alignment vertical="top"/>
    </xf>
    <xf numFmtId="0" fontId="15" fillId="0" borderId="14" xfId="0" applyNumberFormat="1" applyFont="1" applyBorder="1" applyAlignment="1">
      <alignment horizontal="center" vertical="top"/>
    </xf>
    <xf numFmtId="0" fontId="0" fillId="6" borderId="0" xfId="0" applyFill="1" applyBorder="1" applyAlignment="1">
      <alignment vertical="center"/>
    </xf>
    <xf numFmtId="0" fontId="0" fillId="6" borderId="21" xfId="0" applyFill="1" applyBorder="1" applyAlignment="1">
      <alignment vertical="center"/>
    </xf>
    <xf numFmtId="0" fontId="14" fillId="6" borderId="9" xfId="0" applyFont="1" applyFill="1" applyBorder="1" applyAlignment="1">
      <alignment vertical="top" wrapText="1"/>
    </xf>
    <xf numFmtId="49" fontId="7" fillId="2" borderId="20" xfId="0" applyNumberFormat="1" applyFont="1" applyFill="1" applyBorder="1" applyAlignment="1">
      <alignment vertical="center" wrapText="1"/>
    </xf>
    <xf numFmtId="185" fontId="4" fillId="4" borderId="26" xfId="0" applyNumberFormat="1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1" fillId="6" borderId="9" xfId="0" applyFont="1" applyFill="1" applyBorder="1" applyAlignment="1">
      <alignment vertical="top" wrapText="1"/>
    </xf>
    <xf numFmtId="0" fontId="14" fillId="6" borderId="25" xfId="0" applyFont="1" applyFill="1" applyBorder="1" applyAlignment="1">
      <alignment vertical="top" wrapText="1"/>
    </xf>
    <xf numFmtId="0" fontId="1" fillId="6" borderId="29" xfId="0" applyFont="1" applyFill="1" applyBorder="1" applyAlignment="1">
      <alignment vertical="top" wrapText="1"/>
    </xf>
    <xf numFmtId="49" fontId="3" fillId="0" borderId="30" xfId="0" applyNumberFormat="1" applyFont="1" applyBorder="1" applyAlignment="1">
      <alignment vertical="center"/>
    </xf>
    <xf numFmtId="0" fontId="11" fillId="0" borderId="9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</cellXfs>
  <cellStyles count="1">
    <cellStyle name="Обычный" xfId="0" builtinId="0"/>
  </cellStyles>
  <dxfs count="14">
    <dxf>
      <fill>
        <patternFill>
          <bgColor rgb="FFCCFFFF"/>
        </patternFill>
      </fill>
    </dxf>
    <dxf>
      <fill>
        <patternFill>
          <bgColor rgb="FFFF99CC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rgb="FFFF99CC"/>
        </patternFill>
      </fill>
    </dxf>
    <dxf>
      <fill>
        <patternFill>
          <bgColor rgb="FFFFFF99"/>
        </patternFill>
      </fill>
    </dxf>
    <dxf>
      <fill>
        <patternFill>
          <bgColor rgb="FFFF99CC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ze3/Local%20Settings/Temporary%20Internet%20Files/OLK23B/CDC_UP_Risk_Management_Log_Template_v1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isk_Tracking_Log"/>
      <sheetName val="DropDown_Elements"/>
    </sheetNames>
    <sheetDataSet>
      <sheetData sheetId="0"/>
      <sheetData sheetId="1"/>
      <sheetData sheetId="2">
        <row r="2">
          <cell r="A2" t="str">
            <v>Schedule</v>
          </cell>
        </row>
        <row r="3">
          <cell r="A3" t="str">
            <v>Initial Costs</v>
          </cell>
        </row>
        <row r="4">
          <cell r="A4" t="str">
            <v>Life-cycle Costs</v>
          </cell>
        </row>
        <row r="5">
          <cell r="A5" t="str">
            <v>Technical Obsolescence</v>
          </cell>
        </row>
        <row r="6">
          <cell r="A6" t="str">
            <v>Feasibility</v>
          </cell>
        </row>
        <row r="7">
          <cell r="A7" t="str">
            <v>Reliability of Systems</v>
          </cell>
        </row>
        <row r="8">
          <cell r="A8" t="str">
            <v>Dependencies/Interoperability</v>
          </cell>
        </row>
        <row r="9">
          <cell r="A9" t="str">
            <v>Surety Considerations</v>
          </cell>
        </row>
        <row r="10">
          <cell r="A10" t="str">
            <v>Future Procurements</v>
          </cell>
        </row>
        <row r="11">
          <cell r="A11" t="str">
            <v>Project Management</v>
          </cell>
        </row>
        <row r="12">
          <cell r="A12" t="str">
            <v>Overall Project Failure</v>
          </cell>
        </row>
        <row r="13">
          <cell r="A13" t="str">
            <v>Organizational/Change Management</v>
          </cell>
        </row>
        <row r="14">
          <cell r="A14" t="str">
            <v>Business</v>
          </cell>
        </row>
        <row r="15">
          <cell r="A15" t="str">
            <v>Data/Information</v>
          </cell>
        </row>
        <row r="16">
          <cell r="A16" t="str">
            <v>Technology</v>
          </cell>
        </row>
        <row r="17">
          <cell r="A17" t="str">
            <v>Strategic</v>
          </cell>
        </row>
        <row r="18">
          <cell r="A18" t="str">
            <v>Security</v>
          </cell>
        </row>
        <row r="19">
          <cell r="A19" t="str">
            <v>Privacy</v>
          </cell>
        </row>
        <row r="20">
          <cell r="A20" t="str">
            <v>Project Resources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tabSelected="1" workbookViewId="0">
      <selection activeCell="D8" sqref="D8"/>
    </sheetView>
  </sheetViews>
  <sheetFormatPr baseColWidth="10" defaultColWidth="9.1640625" defaultRowHeight="13" x14ac:dyDescent="0.15"/>
  <cols>
    <col min="1" max="1" width="9.1640625" style="47"/>
    <col min="2" max="2" width="17.5" style="47" customWidth="1"/>
    <col min="3" max="3" width="55.83203125" style="47" customWidth="1"/>
    <col min="4" max="16384" width="9.1640625" style="47"/>
  </cols>
  <sheetData>
    <row r="2" spans="2:3" x14ac:dyDescent="0.15">
      <c r="B2" s="46" t="s">
        <v>37</v>
      </c>
    </row>
    <row r="3" spans="2:3" x14ac:dyDescent="0.15">
      <c r="B3" s="46"/>
    </row>
    <row r="4" spans="2:3" ht="16.5" customHeight="1" x14ac:dyDescent="0.15">
      <c r="B4" s="48" t="s">
        <v>38</v>
      </c>
      <c r="C4" s="48" t="s">
        <v>39</v>
      </c>
    </row>
    <row r="5" spans="2:3" ht="14" x14ac:dyDescent="0.15">
      <c r="B5" s="49" t="s">
        <v>0</v>
      </c>
      <c r="C5" s="50" t="s">
        <v>40</v>
      </c>
    </row>
    <row r="6" spans="2:3" ht="42" x14ac:dyDescent="0.15">
      <c r="B6" s="49" t="s">
        <v>42</v>
      </c>
      <c r="C6" s="50" t="s">
        <v>44</v>
      </c>
    </row>
    <row r="7" spans="2:3" ht="28" x14ac:dyDescent="0.15">
      <c r="B7" s="49" t="s">
        <v>1</v>
      </c>
      <c r="C7" s="50" t="s">
        <v>45</v>
      </c>
    </row>
    <row r="8" spans="2:3" ht="28" x14ac:dyDescent="0.15">
      <c r="B8" s="49" t="s">
        <v>2</v>
      </c>
      <c r="C8" s="50" t="s">
        <v>46</v>
      </c>
    </row>
    <row r="9" spans="2:3" ht="42" x14ac:dyDescent="0.15">
      <c r="B9" s="49" t="s">
        <v>3</v>
      </c>
      <c r="C9" s="50" t="s">
        <v>47</v>
      </c>
    </row>
    <row r="10" spans="2:3" ht="14" x14ac:dyDescent="0.15">
      <c r="B10" s="49" t="s">
        <v>36</v>
      </c>
      <c r="C10" s="50" t="s">
        <v>48</v>
      </c>
    </row>
    <row r="11" spans="2:3" ht="14" x14ac:dyDescent="0.15">
      <c r="B11" s="49" t="s">
        <v>41</v>
      </c>
      <c r="C11" s="50" t="s">
        <v>56</v>
      </c>
    </row>
    <row r="12" spans="2:3" ht="14" x14ac:dyDescent="0.15">
      <c r="B12" s="50" t="s">
        <v>54</v>
      </c>
      <c r="C12" s="50" t="s">
        <v>55</v>
      </c>
    </row>
    <row r="13" spans="2:3" ht="28" x14ac:dyDescent="0.15">
      <c r="B13" s="77" t="s">
        <v>76</v>
      </c>
      <c r="C13" s="50" t="s">
        <v>50</v>
      </c>
    </row>
    <row r="14" spans="2:3" ht="28" x14ac:dyDescent="0.15">
      <c r="B14" s="50" t="s">
        <v>43</v>
      </c>
      <c r="C14" s="77" t="s">
        <v>78</v>
      </c>
    </row>
    <row r="15" spans="2:3" ht="42" x14ac:dyDescent="0.15">
      <c r="B15" s="50" t="s">
        <v>51</v>
      </c>
      <c r="C15" s="50" t="s">
        <v>49</v>
      </c>
    </row>
    <row r="16" spans="2:3" ht="28" x14ac:dyDescent="0.15">
      <c r="B16" s="50" t="s">
        <v>58</v>
      </c>
      <c r="C16" s="50" t="s">
        <v>59</v>
      </c>
    </row>
    <row r="17" spans="2:3" ht="28" x14ac:dyDescent="0.15">
      <c r="B17" s="77" t="s">
        <v>77</v>
      </c>
      <c r="C17" s="50" t="s">
        <v>52</v>
      </c>
    </row>
  </sheetData>
  <phoneticPr fontId="1" type="noConversion"/>
  <printOptions horizontalCentered="1"/>
  <pageMargins left="0.25" right="0.25" top="0.25" bottom="0.2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0"/>
  <sheetViews>
    <sheetView topLeftCell="A2" zoomScaleNormal="100" workbookViewId="0">
      <selection activeCell="J4" sqref="J4"/>
    </sheetView>
  </sheetViews>
  <sheetFormatPr baseColWidth="10" defaultColWidth="9.1640625" defaultRowHeight="13" x14ac:dyDescent="0.15"/>
  <cols>
    <col min="1" max="1" width="6" style="5" customWidth="1"/>
    <col min="2" max="2" width="7.83203125" style="6" customWidth="1"/>
    <col min="3" max="3" width="10.5" style="6" bestFit="1" customWidth="1"/>
    <col min="4" max="4" width="9.5" style="6" customWidth="1"/>
    <col min="5" max="5" width="8.5" style="6" customWidth="1"/>
    <col min="6" max="7" width="34" style="25" customWidth="1"/>
    <col min="8" max="8" width="14.6640625" style="25" customWidth="1"/>
    <col min="9" max="9" width="30.83203125" style="25" customWidth="1"/>
    <col min="10" max="10" width="24.6640625" style="25" customWidth="1"/>
    <col min="11" max="11" width="12.5" style="25" customWidth="1"/>
    <col min="12" max="12" width="11" style="25" customWidth="1"/>
    <col min="13" max="13" width="27.5" style="25" customWidth="1"/>
    <col min="14" max="14" width="9.1640625" style="4"/>
    <col min="15" max="15" width="6" style="4" customWidth="1"/>
    <col min="16" max="16384" width="9.1640625" style="4"/>
  </cols>
  <sheetData>
    <row r="1" spans="1:21" s="7" customFormat="1" ht="19" thickBot="1" x14ac:dyDescent="0.2">
      <c r="A1" s="2" t="s">
        <v>7</v>
      </c>
      <c r="B1" s="10"/>
      <c r="C1" s="10"/>
      <c r="D1" s="10"/>
      <c r="E1" s="10"/>
      <c r="F1" s="11"/>
      <c r="G1" s="11"/>
      <c r="H1" s="12"/>
      <c r="I1" s="2" t="s">
        <v>7</v>
      </c>
      <c r="J1" s="12"/>
      <c r="K1" s="68"/>
      <c r="L1" s="12"/>
      <c r="M1" s="12"/>
    </row>
    <row r="2" spans="1:21" s="1" customFormat="1" ht="14" thickBot="1" x14ac:dyDescent="0.2">
      <c r="A2" s="8" t="s">
        <v>4</v>
      </c>
      <c r="B2" s="38" t="s">
        <v>6</v>
      </c>
      <c r="C2" s="37"/>
      <c r="D2"/>
      <c r="E2" s="14"/>
      <c r="F2" s="13"/>
      <c r="G2" s="14"/>
      <c r="H2" s="42"/>
      <c r="I2" s="8" t="s">
        <v>4</v>
      </c>
      <c r="J2" s="75" t="s">
        <v>6</v>
      </c>
      <c r="K2" s="70"/>
      <c r="L2" s="65"/>
      <c r="M2" s="66"/>
      <c r="N2" s="33"/>
      <c r="O2" s="33"/>
      <c r="P2" s="33"/>
      <c r="Q2" s="33"/>
      <c r="R2" s="33"/>
      <c r="S2" s="33"/>
      <c r="T2" s="33"/>
      <c r="U2" s="33"/>
    </row>
    <row r="3" spans="1:21" s="1" customFormat="1" ht="14" thickBot="1" x14ac:dyDescent="0.2">
      <c r="A3" s="9" t="s">
        <v>5</v>
      </c>
      <c r="B3" s="38" t="s">
        <v>6</v>
      </c>
      <c r="C3" s="37"/>
      <c r="D3"/>
      <c r="E3" s="16"/>
      <c r="F3" s="15"/>
      <c r="G3" s="16"/>
      <c r="H3" s="43"/>
      <c r="I3" s="9" t="s">
        <v>5</v>
      </c>
      <c r="J3" s="75" t="s">
        <v>6</v>
      </c>
      <c r="K3" s="71"/>
      <c r="L3" s="65"/>
      <c r="M3" s="66"/>
      <c r="N3" s="33"/>
      <c r="O3" s="33"/>
      <c r="P3" s="33"/>
      <c r="Q3" s="33"/>
      <c r="R3" s="33"/>
      <c r="S3" s="33"/>
      <c r="T3" s="33"/>
      <c r="U3" s="33"/>
    </row>
    <row r="4" spans="1:21" s="3" customFormat="1" ht="25" thickBot="1" x14ac:dyDescent="0.2">
      <c r="A4" s="27" t="s">
        <v>0</v>
      </c>
      <c r="B4" s="35" t="s">
        <v>34</v>
      </c>
      <c r="C4" s="35" t="s">
        <v>1</v>
      </c>
      <c r="D4" s="36" t="s">
        <v>2</v>
      </c>
      <c r="E4" s="26" t="s">
        <v>3</v>
      </c>
      <c r="F4" s="28" t="s">
        <v>36</v>
      </c>
      <c r="G4" s="28" t="s">
        <v>41</v>
      </c>
      <c r="H4" s="51" t="s">
        <v>53</v>
      </c>
      <c r="I4" s="28" t="s">
        <v>69</v>
      </c>
      <c r="J4" s="26" t="s">
        <v>43</v>
      </c>
      <c r="K4" s="69" t="s">
        <v>51</v>
      </c>
      <c r="L4" s="57" t="s">
        <v>57</v>
      </c>
      <c r="M4" s="32" t="s">
        <v>70</v>
      </c>
    </row>
    <row r="5" spans="1:21" ht="48" x14ac:dyDescent="0.15">
      <c r="A5" s="39" t="s">
        <v>8</v>
      </c>
      <c r="B5" s="62" t="s">
        <v>35</v>
      </c>
      <c r="C5" s="62" t="s">
        <v>60</v>
      </c>
      <c r="D5" s="62" t="s">
        <v>61</v>
      </c>
      <c r="E5" s="64" t="str">
        <f>IF(OR(AND(B5&lt;&gt;"Закрыт",C5="Высокое",D5="Высокая"),AND(B5&lt;&gt;"Закрыт",C5="Высокое",D5="Средняя"),AND(B5&lt;&gt;"Закрыт",C5="Среднее",D5="Высокая")),"Красный",IF(OR(AND(B5&lt;&gt;"Закрыт",C5="Высокое",D5="Низкая"),AND(B5&lt;&gt;"Закрыт",C5="Среднее",D5="Средняя"),AND(B5&lt;&gt;"Закрыт",C5="Низкое",D5="Высокая")),"Желтый",IF(OR(AND(B5&lt;&gt;"Закрыт",C5="Среднее",D5="Низкая"),AND(B5&lt;&gt;"Закрыт",C5="Низкое",D5="Низкая"),AND(B5&lt;&gt;"Закрыт",C5="Низкое",D5="Средняя")),"Зеленый",IF(B5="Закрыт","Закрыт",""))))</f>
        <v>Красный</v>
      </c>
      <c r="F5" s="56" t="s">
        <v>63</v>
      </c>
      <c r="G5" s="56" t="s">
        <v>65</v>
      </c>
      <c r="H5" s="63" t="s">
        <v>64</v>
      </c>
      <c r="I5" s="72" t="s">
        <v>68</v>
      </c>
      <c r="J5" s="67" t="s">
        <v>66</v>
      </c>
      <c r="K5" s="62" t="s">
        <v>67</v>
      </c>
      <c r="L5" s="73" t="s">
        <v>71</v>
      </c>
      <c r="M5" s="74" t="s">
        <v>72</v>
      </c>
      <c r="O5" s="4" t="str">
        <f>IF(OR(AND(B5&lt;&gt;"Closed",C5="High",E5="High"), AND(B5&lt;&gt;"Closed",C5="High", E5="Medium"),AND(B5&lt;&gt;"Closed",C5="Medium",E5="High")),"Red",IF(OR(AND(B5&lt;&gt;"Closed",C5="High",E5="Low"), AND(B5&lt;&gt;"Closed",C5="Medium", E5="Medium"),AND(B5&lt;&gt;"Closed",C5="Low",E5="High")),"Yellow",IF(OR(AND(B5&lt;&gt;"Closed",C5="Medium",E5="Low"), AND(B5&lt;&gt;"Closed",C5="Low", E5="Low"),AND(B5&lt;&gt;"Closed",C5="Low",E5="Medium")),"Green","")))</f>
        <v/>
      </c>
    </row>
    <row r="6" spans="1:21" ht="28" x14ac:dyDescent="0.15">
      <c r="A6" s="39" t="s">
        <v>9</v>
      </c>
      <c r="B6" s="62" t="s">
        <v>35</v>
      </c>
      <c r="C6" s="62" t="s">
        <v>60</v>
      </c>
      <c r="D6" s="62" t="s">
        <v>62</v>
      </c>
      <c r="E6" s="64" t="str">
        <f>IF(OR(AND(B6&lt;&gt;"Закрыт",C6="Высокое",D6="Высокая"),AND(B6&lt;&gt;"Закрыт",C6="Высокое",D6="Средняя"),AND(B6&lt;&gt;"Закрыт",C6="Среднее",D6="Высокая")),"Красный",IF(OR(AND(B6&lt;&gt;"Закрыт",C6="Высокое",D6="Низкая"),AND(B6&lt;&gt;"Закрыт",C6="Среднее",D6="Средняя"),AND(B6&lt;&gt;"Закрыт",C6="Низкое",D6="Высокая")),"Желтый",IF(OR(AND(B6&lt;&gt;"Закрыт",C6="Среднее",D6="Низкая"),AND(B6&lt;&gt;"Закрыт",C6="Низкое",D6="Низкая"),AND(B6&lt;&gt;"Закрыт",C6="Низкое",D6="Средняя")),"Зеленый",IF(B6="Закрыт","Закрыт",""))))</f>
        <v>Зеленый</v>
      </c>
      <c r="F6" s="56" t="s">
        <v>73</v>
      </c>
      <c r="G6" s="56" t="s">
        <v>74</v>
      </c>
      <c r="H6" s="76" t="s">
        <v>75</v>
      </c>
      <c r="I6" s="44"/>
      <c r="J6" s="30"/>
      <c r="K6" s="62"/>
      <c r="L6" s="58"/>
      <c r="M6" s="18"/>
    </row>
    <row r="7" spans="1:21" x14ac:dyDescent="0.15">
      <c r="A7" s="39" t="s">
        <v>10</v>
      </c>
      <c r="B7" s="29"/>
      <c r="C7" s="29"/>
      <c r="D7" s="29"/>
      <c r="E7" s="64"/>
      <c r="F7" s="56"/>
      <c r="G7" s="30"/>
      <c r="H7" s="52"/>
      <c r="I7" s="44"/>
      <c r="J7" s="30"/>
      <c r="K7" s="29"/>
      <c r="L7" s="58"/>
      <c r="M7" s="18"/>
    </row>
    <row r="8" spans="1:21" x14ac:dyDescent="0.15">
      <c r="A8" s="39" t="s">
        <v>11</v>
      </c>
      <c r="B8" s="29"/>
      <c r="C8" s="29"/>
      <c r="D8" s="29"/>
      <c r="E8" s="64"/>
      <c r="F8" s="56"/>
      <c r="G8" s="30"/>
      <c r="H8" s="52"/>
      <c r="I8" s="44"/>
      <c r="J8" s="30"/>
      <c r="K8" s="29"/>
      <c r="L8" s="59"/>
      <c r="M8" s="19"/>
    </row>
    <row r="9" spans="1:21" x14ac:dyDescent="0.15">
      <c r="A9" s="39" t="s">
        <v>12</v>
      </c>
      <c r="B9" s="29"/>
      <c r="C9" s="29"/>
      <c r="D9" s="29"/>
      <c r="E9" s="64" t="str">
        <f>IF(OR(AND(B9&lt;&gt;"Закрыт",C9="Высокое",D9="Высокая"),AND(B9&lt;&gt;"Закрыт",C9="Высокое",D9="Средняя"),AND(B9&lt;&gt;"Закрыт",C9="Среднее",D9="Высокая")),"Красный",IF(OR(AND(B9&lt;&gt;"Закрыт",C9="Высокое",D9="Низкая"),AND(B9&lt;&gt;"Закрыт",C9="Среднее",D9="Средняя"),AND(B9&lt;&gt;"Закрыт",C9="Низкое",D9="Высокая")),"Желтый",IF(OR(AND(B9&lt;&gt;"Закрыт",C9="Среднее",D9="Низкая"),AND(B9&lt;&gt;"Закрыт",C9="Низкое",D9="Низкая"),AND(B9&lt;&gt;"Закрыт",C9="Низкое",D9="Средняя")),"Зеленый",IF(B9="Закрыт","Закрыт",""))))</f>
        <v/>
      </c>
      <c r="F9" s="56"/>
      <c r="G9" s="17"/>
      <c r="H9" s="52"/>
      <c r="I9" s="44"/>
      <c r="J9" s="30"/>
      <c r="K9" s="29"/>
      <c r="L9" s="60"/>
      <c r="M9" s="21"/>
    </row>
    <row r="10" spans="1:21" x14ac:dyDescent="0.15">
      <c r="A10" s="39" t="s">
        <v>13</v>
      </c>
      <c r="B10" s="29"/>
      <c r="C10" s="29"/>
      <c r="D10" s="29"/>
      <c r="E10" s="64" t="str">
        <f>IF(OR(AND(B10&lt;&gt;"Закрыт",C10="Высокое",D10="Высокая"),AND(B10&lt;&gt;"Закрыт",C10="Высокое",D10="Средняя"),AND(B10&lt;&gt;"Закрыт",C10="Среднее",D10="Высокая")),"Красный",IF(OR(AND(B10&lt;&gt;"Закрыт",C10="Высокое",D10="Низкая"),AND(B10&lt;&gt;"Закрыт",C10="Среднее",D10="Средняя"),AND(B10&lt;&gt;"Закрыт",C10="Низкое",D10="Высокая")),"Желтый",IF(OR(AND(B10&lt;&gt;"Закрыт",C10="Среднее",D10="Низкая"),AND(B10&lt;&gt;"Закрыт",C10="Низкое",D10="Низкая"),AND(B10&lt;&gt;"Закрыт",C10="Низкое",D10="Средняя")),"Зеленый",IF(B10="Закрыт","Закрыт",""))))</f>
        <v/>
      </c>
      <c r="F10" s="56"/>
      <c r="G10" s="17"/>
      <c r="H10" s="52"/>
      <c r="I10" s="44"/>
      <c r="J10" s="30"/>
      <c r="K10" s="29"/>
      <c r="L10" s="59"/>
      <c r="M10" s="22"/>
    </row>
    <row r="11" spans="1:21" x14ac:dyDescent="0.15">
      <c r="A11" s="39" t="s">
        <v>14</v>
      </c>
      <c r="B11" s="29"/>
      <c r="C11" s="29"/>
      <c r="D11" s="29"/>
      <c r="E11" s="31" t="str">
        <f t="shared" ref="E11:E30" si="0">IF(OR(AND(B11&lt;&gt;"Закрыт",C11="Высокое",D11="Высокая"),AND(B11&lt;&gt;"Закрыт",C11="Высокое",D11="Средняя"),AND(B11&lt;&gt;"Закрыт",C11="Среднее",D11="Высокая")),"Красный",IF(OR(AND(B11&lt;&gt;"Закрыт",C11="Высокое",D11="Низкая"),AND(B11&lt;&gt;"Закрыт",C11="Среднее",D11="Средняя"),AND(B11&lt;&gt;"Закрыт",C11="Низкое",D11="Высокая")),"Желтый",IF(OR(AND(B11&lt;&gt;"Закрыт",C11="Среднее",D11="Низкая"),AND(B11&lt;&gt;"Закрыт",C11="Низкое",D11="Низкая"),AND(B11&lt;&gt;"Закрыт",C11="Низкое",D11="Средняя")),"Зеленый",IF(B11="Закрыт","Закрыт",""))))</f>
        <v/>
      </c>
      <c r="F11" s="56"/>
      <c r="G11" s="17"/>
      <c r="H11" s="52"/>
      <c r="I11" s="44"/>
      <c r="J11" s="30"/>
      <c r="K11" s="29"/>
      <c r="L11" s="59"/>
      <c r="M11" s="22"/>
    </row>
    <row r="12" spans="1:21" x14ac:dyDescent="0.15">
      <c r="A12" s="39" t="s">
        <v>15</v>
      </c>
      <c r="B12" s="29"/>
      <c r="C12" s="29"/>
      <c r="D12" s="29"/>
      <c r="E12" s="31" t="str">
        <f t="shared" si="0"/>
        <v/>
      </c>
      <c r="F12" s="56"/>
      <c r="G12" s="17"/>
      <c r="H12" s="52"/>
      <c r="I12" s="44"/>
      <c r="J12" s="30"/>
      <c r="K12" s="29"/>
      <c r="L12" s="59"/>
      <c r="M12" s="22"/>
    </row>
    <row r="13" spans="1:21" x14ac:dyDescent="0.15">
      <c r="A13" s="39" t="s">
        <v>16</v>
      </c>
      <c r="B13" s="29"/>
      <c r="C13" s="29"/>
      <c r="D13" s="29"/>
      <c r="E13" s="31" t="str">
        <f t="shared" si="0"/>
        <v/>
      </c>
      <c r="F13" s="56"/>
      <c r="G13" s="17"/>
      <c r="H13" s="52"/>
      <c r="I13" s="44"/>
      <c r="J13" s="30"/>
      <c r="K13" s="29"/>
      <c r="L13" s="59"/>
      <c r="M13" s="22"/>
    </row>
    <row r="14" spans="1:21" x14ac:dyDescent="0.15">
      <c r="A14" s="39" t="s">
        <v>17</v>
      </c>
      <c r="B14" s="29"/>
      <c r="C14" s="29"/>
      <c r="D14" s="29"/>
      <c r="E14" s="31" t="str">
        <f t="shared" si="0"/>
        <v/>
      </c>
      <c r="F14" s="56"/>
      <c r="G14" s="17"/>
      <c r="H14" s="52"/>
      <c r="I14" s="44"/>
      <c r="J14" s="30"/>
      <c r="K14" s="29"/>
      <c r="L14" s="59"/>
      <c r="M14" s="22"/>
    </row>
    <row r="15" spans="1:21" x14ac:dyDescent="0.15">
      <c r="A15" s="39" t="s">
        <v>18</v>
      </c>
      <c r="B15" s="29"/>
      <c r="C15" s="29"/>
      <c r="D15" s="29"/>
      <c r="E15" s="31" t="str">
        <f t="shared" si="0"/>
        <v/>
      </c>
      <c r="F15" s="20"/>
      <c r="G15" s="17"/>
      <c r="H15" s="52"/>
      <c r="I15" s="44"/>
      <c r="J15" s="30"/>
      <c r="K15" s="29"/>
      <c r="L15" s="59"/>
      <c r="M15" s="22"/>
    </row>
    <row r="16" spans="1:21" x14ac:dyDescent="0.15">
      <c r="A16" s="39" t="s">
        <v>19</v>
      </c>
      <c r="B16" s="29"/>
      <c r="C16" s="29"/>
      <c r="D16" s="29"/>
      <c r="E16" s="31" t="str">
        <f t="shared" si="0"/>
        <v/>
      </c>
      <c r="F16" s="20"/>
      <c r="G16" s="17"/>
      <c r="H16" s="52"/>
      <c r="I16" s="44"/>
      <c r="J16" s="30"/>
      <c r="K16" s="29"/>
      <c r="L16" s="59"/>
      <c r="M16" s="22"/>
    </row>
    <row r="17" spans="1:13" x14ac:dyDescent="0.15">
      <c r="A17" s="39" t="s">
        <v>20</v>
      </c>
      <c r="B17" s="29"/>
      <c r="C17" s="29"/>
      <c r="D17" s="29"/>
      <c r="E17" s="31" t="str">
        <f t="shared" si="0"/>
        <v/>
      </c>
      <c r="F17" s="20"/>
      <c r="G17" s="17"/>
      <c r="H17" s="52"/>
      <c r="I17" s="44"/>
      <c r="J17" s="30"/>
      <c r="K17" s="29"/>
      <c r="L17" s="59"/>
      <c r="M17" s="22"/>
    </row>
    <row r="18" spans="1:13" x14ac:dyDescent="0.15">
      <c r="A18" s="39" t="s">
        <v>21</v>
      </c>
      <c r="B18" s="29"/>
      <c r="C18" s="29"/>
      <c r="D18" s="29"/>
      <c r="E18" s="31" t="str">
        <f t="shared" si="0"/>
        <v/>
      </c>
      <c r="F18" s="20"/>
      <c r="G18" s="17"/>
      <c r="H18" s="52"/>
      <c r="I18" s="44"/>
      <c r="J18" s="30"/>
      <c r="K18" s="29"/>
      <c r="L18" s="59"/>
      <c r="M18" s="22"/>
    </row>
    <row r="19" spans="1:13" x14ac:dyDescent="0.15">
      <c r="A19" s="39" t="s">
        <v>22</v>
      </c>
      <c r="B19" s="29"/>
      <c r="C19" s="29"/>
      <c r="D19" s="29"/>
      <c r="E19" s="31" t="str">
        <f t="shared" si="0"/>
        <v/>
      </c>
      <c r="F19" s="20"/>
      <c r="G19" s="17"/>
      <c r="H19" s="52"/>
      <c r="I19" s="44"/>
      <c r="J19" s="30"/>
      <c r="K19" s="29"/>
      <c r="L19" s="59"/>
      <c r="M19" s="22"/>
    </row>
    <row r="20" spans="1:13" x14ac:dyDescent="0.15">
      <c r="A20" s="39" t="s">
        <v>23</v>
      </c>
      <c r="B20" s="29"/>
      <c r="C20" s="29"/>
      <c r="D20" s="29"/>
      <c r="E20" s="31" t="str">
        <f t="shared" si="0"/>
        <v/>
      </c>
      <c r="F20" s="20"/>
      <c r="G20" s="17"/>
      <c r="H20" s="52"/>
      <c r="I20" s="44"/>
      <c r="J20" s="30"/>
      <c r="K20" s="29"/>
      <c r="L20" s="59"/>
      <c r="M20" s="22"/>
    </row>
    <row r="21" spans="1:13" x14ac:dyDescent="0.15">
      <c r="A21" s="39" t="s">
        <v>24</v>
      </c>
      <c r="B21" s="29"/>
      <c r="C21" s="29"/>
      <c r="D21" s="29"/>
      <c r="E21" s="31" t="str">
        <f t="shared" si="0"/>
        <v/>
      </c>
      <c r="F21" s="20"/>
      <c r="G21" s="17"/>
      <c r="H21" s="52"/>
      <c r="I21" s="44"/>
      <c r="J21" s="30"/>
      <c r="K21" s="29"/>
      <c r="L21" s="59"/>
      <c r="M21" s="22"/>
    </row>
    <row r="22" spans="1:13" x14ac:dyDescent="0.15">
      <c r="A22" s="39" t="s">
        <v>25</v>
      </c>
      <c r="B22" s="29"/>
      <c r="C22" s="29"/>
      <c r="D22" s="29"/>
      <c r="E22" s="31" t="str">
        <f t="shared" si="0"/>
        <v/>
      </c>
      <c r="F22" s="20"/>
      <c r="G22" s="17"/>
      <c r="H22" s="52"/>
      <c r="I22" s="44"/>
      <c r="J22" s="30"/>
      <c r="K22" s="29"/>
      <c r="L22" s="59"/>
      <c r="M22" s="22"/>
    </row>
    <row r="23" spans="1:13" x14ac:dyDescent="0.15">
      <c r="A23" s="39" t="s">
        <v>26</v>
      </c>
      <c r="B23" s="29"/>
      <c r="C23" s="29"/>
      <c r="D23" s="29"/>
      <c r="E23" s="31" t="str">
        <f t="shared" si="0"/>
        <v/>
      </c>
      <c r="F23" s="20"/>
      <c r="G23" s="17"/>
      <c r="H23" s="52"/>
      <c r="I23" s="44"/>
      <c r="J23" s="30"/>
      <c r="K23" s="29"/>
      <c r="L23" s="59"/>
      <c r="M23" s="22"/>
    </row>
    <row r="24" spans="1:13" x14ac:dyDescent="0.15">
      <c r="A24" s="39" t="s">
        <v>27</v>
      </c>
      <c r="B24" s="29"/>
      <c r="C24" s="29"/>
      <c r="D24" s="29"/>
      <c r="E24" s="31" t="str">
        <f t="shared" si="0"/>
        <v/>
      </c>
      <c r="F24" s="20"/>
      <c r="G24" s="17"/>
      <c r="H24" s="52"/>
      <c r="I24" s="44"/>
      <c r="J24" s="30"/>
      <c r="K24" s="29"/>
      <c r="L24" s="59"/>
      <c r="M24" s="22"/>
    </row>
    <row r="25" spans="1:13" x14ac:dyDescent="0.15">
      <c r="A25" s="39" t="s">
        <v>28</v>
      </c>
      <c r="B25" s="29"/>
      <c r="C25" s="29"/>
      <c r="D25" s="29"/>
      <c r="E25" s="31" t="str">
        <f t="shared" si="0"/>
        <v/>
      </c>
      <c r="F25" s="20"/>
      <c r="G25" s="17"/>
      <c r="H25" s="52"/>
      <c r="I25" s="44"/>
      <c r="J25" s="30"/>
      <c r="K25" s="29"/>
      <c r="L25" s="59"/>
      <c r="M25" s="22"/>
    </row>
    <row r="26" spans="1:13" x14ac:dyDescent="0.15">
      <c r="A26" s="39" t="s">
        <v>29</v>
      </c>
      <c r="B26" s="29"/>
      <c r="C26" s="29"/>
      <c r="D26" s="29"/>
      <c r="E26" s="31" t="str">
        <f t="shared" si="0"/>
        <v/>
      </c>
      <c r="F26" s="20"/>
      <c r="G26" s="17"/>
      <c r="H26" s="52"/>
      <c r="I26" s="44"/>
      <c r="J26" s="30"/>
      <c r="K26" s="29"/>
      <c r="L26" s="59"/>
      <c r="M26" s="22"/>
    </row>
    <row r="27" spans="1:13" x14ac:dyDescent="0.15">
      <c r="A27" s="39" t="s">
        <v>30</v>
      </c>
      <c r="B27" s="29"/>
      <c r="C27" s="29"/>
      <c r="D27" s="29"/>
      <c r="E27" s="31" t="str">
        <f t="shared" si="0"/>
        <v/>
      </c>
      <c r="F27" s="20"/>
      <c r="G27" s="17"/>
      <c r="H27" s="52"/>
      <c r="I27" s="44"/>
      <c r="J27" s="30"/>
      <c r="K27" s="29"/>
      <c r="L27" s="59"/>
      <c r="M27" s="22"/>
    </row>
    <row r="28" spans="1:13" x14ac:dyDescent="0.15">
      <c r="A28" s="39" t="s">
        <v>31</v>
      </c>
      <c r="B28" s="29"/>
      <c r="C28" s="29"/>
      <c r="D28" s="29"/>
      <c r="E28" s="31" t="str">
        <f t="shared" si="0"/>
        <v/>
      </c>
      <c r="F28" s="20"/>
      <c r="G28" s="17"/>
      <c r="H28" s="52"/>
      <c r="I28" s="44"/>
      <c r="J28" s="30"/>
      <c r="K28" s="29"/>
      <c r="L28" s="59"/>
      <c r="M28" s="22"/>
    </row>
    <row r="29" spans="1:13" x14ac:dyDescent="0.15">
      <c r="A29" s="39" t="s">
        <v>32</v>
      </c>
      <c r="B29" s="29"/>
      <c r="C29" s="29"/>
      <c r="D29" s="29"/>
      <c r="E29" s="31" t="str">
        <f t="shared" si="0"/>
        <v/>
      </c>
      <c r="F29" s="20"/>
      <c r="G29" s="17"/>
      <c r="H29" s="52"/>
      <c r="I29" s="44"/>
      <c r="J29" s="30"/>
      <c r="K29" s="29"/>
      <c r="L29" s="59"/>
      <c r="M29" s="22"/>
    </row>
    <row r="30" spans="1:13" ht="14" thickBot="1" x14ac:dyDescent="0.2">
      <c r="A30" s="40" t="s">
        <v>33</v>
      </c>
      <c r="B30" s="41"/>
      <c r="C30" s="41"/>
      <c r="D30" s="41"/>
      <c r="E30" s="54" t="str">
        <f t="shared" si="0"/>
        <v/>
      </c>
      <c r="F30" s="23"/>
      <c r="G30" s="55"/>
      <c r="H30" s="53"/>
      <c r="I30" s="45"/>
      <c r="J30" s="34"/>
      <c r="K30" s="41"/>
      <c r="L30" s="61"/>
      <c r="M30" s="24"/>
    </row>
  </sheetData>
  <autoFilter ref="B4:D4"/>
  <phoneticPr fontId="1" type="noConversion"/>
  <conditionalFormatting sqref="C31:E65536 B4:C4 C1:E1">
    <cfRule type="cellIs" dxfId="13" priority="18" stopIfTrue="1" operator="equal">
      <formula>"Critical"</formula>
    </cfRule>
    <cfRule type="cellIs" dxfId="12" priority="19" stopIfTrue="1" operator="equal">
      <formula>"High"</formula>
    </cfRule>
    <cfRule type="cellIs" dxfId="11" priority="20" stopIfTrue="1" operator="equal">
      <formula>"Medium"</formula>
    </cfRule>
  </conditionalFormatting>
  <conditionalFormatting sqref="L8:L30">
    <cfRule type="cellIs" dxfId="10" priority="21" stopIfTrue="1" operator="equal">
      <formula>"High"</formula>
    </cfRule>
    <cfRule type="cellIs" dxfId="9" priority="22" stopIfTrue="1" operator="equal">
      <formula>"Medium"</formula>
    </cfRule>
  </conditionalFormatting>
  <conditionalFormatting sqref="E5:E30">
    <cfRule type="containsText" dxfId="8" priority="1" stopIfTrue="1" operator="containsText" text="Зеленый">
      <formula>NOT(ISERROR(SEARCH("Зеленый",E5)))</formula>
    </cfRule>
    <cfRule type="containsText" dxfId="7" priority="2" stopIfTrue="1" operator="containsText" text="Желтый">
      <formula>NOT(ISERROR(SEARCH("Желтый",E5)))</formula>
    </cfRule>
    <cfRule type="containsText" dxfId="6" priority="3" stopIfTrue="1" operator="containsText" text="Красный">
      <formula>NOT(ISERROR(SEARCH("Красный",E5)))</formula>
    </cfRule>
  </conditionalFormatting>
  <conditionalFormatting sqref="C5:C30">
    <cfRule type="containsText" dxfId="5" priority="4" stopIfTrue="1" operator="containsText" text="Среднее">
      <formula>NOT(ISERROR(SEARCH("Среднее",C5)))</formula>
    </cfRule>
    <cfRule type="containsText" dxfId="4" priority="8" stopIfTrue="1" operator="containsText" text="Высокое">
      <formula>NOT(ISERROR(SEARCH("Высокое",C5)))</formula>
    </cfRule>
    <cfRule type="containsText" dxfId="3" priority="15" stopIfTrue="1" operator="containsText" text="Низкое">
      <formula>NOT(ISERROR(SEARCH("Низкое",C5)))</formula>
    </cfRule>
  </conditionalFormatting>
  <conditionalFormatting sqref="D5:D30">
    <cfRule type="containsText" dxfId="2" priority="5" stopIfTrue="1" operator="containsText" text="Средняя">
      <formula>NOT(ISERROR(SEARCH("Средняя",D5)))</formula>
    </cfRule>
    <cfRule type="containsText" dxfId="1" priority="6" stopIfTrue="1" operator="containsText" text="Высокая">
      <formula>NOT(ISERROR(SEARCH("Высокая",D5)))</formula>
    </cfRule>
    <cfRule type="containsText" dxfId="0" priority="11" stopIfTrue="1" operator="containsText" text="Низкая">
      <formula>NOT(ISERROR(SEARCH("Низкая",D5)))</formula>
    </cfRule>
  </conditionalFormatting>
  <dataValidations count="5">
    <dataValidation type="list" allowBlank="1" showInputMessage="1" showErrorMessage="1" sqref="L8:L30">
      <formula1>"High,Medium,Low"</formula1>
    </dataValidation>
    <dataValidation type="list" allowBlank="1" showInputMessage="1" showErrorMessage="1" sqref="K5:K30">
      <formula1>"Использование,Предотвращени,Смягчение,Усиление,Перенос,Разделение,Принятие"</formula1>
    </dataValidation>
    <dataValidation type="list" allowBlank="1" showInputMessage="1" showErrorMessage="1" sqref="C5:C30">
      <formula1>"Высокое,Среднее,Низкое"</formula1>
    </dataValidation>
    <dataValidation type="list" allowBlank="1" showInputMessage="1" showErrorMessage="1" sqref="D5:D30">
      <formula1>"Высокая,Средняя,Низкая"</formula1>
    </dataValidation>
    <dataValidation type="list" allowBlank="1" showInputMessage="1" showErrorMessage="1" sqref="B5:B30">
      <formula1>"Открыт,Закрыт"</formula1>
    </dataValidation>
  </dataValidations>
  <pageMargins left="0.25" right="0.25" top="0.75" bottom="0.75" header="0.3" footer="0.3"/>
  <pageSetup orientation="landscape"/>
  <headerFooter alignWithMargins="0">
    <oddFooter>&amp;L&amp;8Дата &amp;D&amp;C&amp;8Реестр рисков&amp;R&amp;8Страница 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Инструкции</vt:lpstr>
      <vt:lpstr>Реестр рисков</vt:lpstr>
      <vt:lpstr>'Реестр рисков'!Заголовки_для_печати</vt:lpstr>
      <vt:lpstr>'Реестр рисков'!Область_печати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register</dc:title>
  <dc:subject/>
  <dc:creator/>
  <cp:keywords/>
  <dc:description>Шаблон реестра рисков </dc:description>
  <cp:lastModifiedBy/>
  <dcterms:created xsi:type="dcterms:W3CDTF">2010-08-20T19:12:00Z</dcterms:created>
  <dcterms:modified xsi:type="dcterms:W3CDTF">2023-10-04T10:35:22Z</dcterms:modified>
  <cp:category/>
</cp:coreProperties>
</file>